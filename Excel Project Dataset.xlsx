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C:\Users\iamam\Desktop\"/>
    </mc:Choice>
  </mc:AlternateContent>
  <xr:revisionPtr revIDLastSave="0" documentId="13_ncr:1_{A45E25F3-EB8F-4C83-BF7E-93820C464267}" xr6:coauthVersionLast="47" xr6:coauthVersionMax="47" xr10:uidLastSave="{00000000-0000-0000-0000-000000000000}"/>
  <bookViews>
    <workbookView xWindow="-108" yWindow="-108" windowWidth="23256" windowHeight="12456" xr2:uid="{00000000-000D-0000-FFFF-FFFF00000000}"/>
  </bookViews>
  <sheets>
    <sheet name="Dashboard" sheetId="5" r:id="rId1"/>
    <sheet name="Income Per Purchase" sheetId="2" r:id="rId2"/>
    <sheet name="Customer Commute" sheetId="3" r:id="rId3"/>
    <sheet name="Age Per Purchase" sheetId="4" r:id="rId4"/>
    <sheet name="bike_buyers" sheetId="1" r:id="rId5"/>
  </sheets>
  <definedNames>
    <definedName name="_xlnm._FilterDatabase" localSheetId="4" hidden="1">bike_buyers!$A$1:$P$1001</definedName>
    <definedName name="Slicer_Education">#N/A</definedName>
    <definedName name="Slicer_Home_Owner">#N/A</definedName>
    <definedName name="Slicer_Marit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c r="O61" i="1" a="1"/>
  <c r="O61" i="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c r="O77" i="1" a="1"/>
  <c r="O77" i="1" s="1"/>
  <c r="O78" i="1" a="1"/>
  <c r="O78" i="1" s="1"/>
  <c r="O79" i="1" a="1"/>
  <c r="O79" i="1" s="1"/>
  <c r="O80" i="1" a="1"/>
  <c r="O80" i="1" s="1"/>
  <c r="O81" i="1" a="1"/>
  <c r="O81" i="1" s="1"/>
  <c r="O82" i="1" a="1"/>
  <c r="O82" i="1" s="1"/>
  <c r="O83" i="1" a="1"/>
  <c r="O83" i="1" s="1"/>
  <c r="O84" i="1" a="1"/>
  <c r="O84" i="1" s="1"/>
  <c r="O85" i="1" a="1"/>
  <c r="O85" i="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O130" i="1" a="1"/>
  <c r="O130" i="1" s="1"/>
  <c r="O131" i="1" a="1"/>
  <c r="O131" i="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c r="O155" i="1" a="1"/>
  <c r="O155" i="1" s="1"/>
  <c r="O156" i="1" a="1"/>
  <c r="O156" i="1" s="1"/>
  <c r="O157" i="1" a="1"/>
  <c r="O157" i="1" s="1"/>
  <c r="O158" i="1" a="1"/>
  <c r="O158" i="1" s="1"/>
  <c r="O159" i="1" a="1"/>
  <c r="O159" i="1" s="1"/>
  <c r="O160" i="1" a="1"/>
  <c r="O160" i="1" s="1"/>
  <c r="O161" i="1" a="1"/>
  <c r="O161" i="1"/>
  <c r="O162" i="1" a="1"/>
  <c r="O162" i="1" s="1"/>
  <c r="O163" i="1" a="1"/>
  <c r="O163" i="1" s="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c r="O188" i="1" a="1"/>
  <c r="O188" i="1" s="1"/>
  <c r="O189" i="1" a="1"/>
  <c r="O189" i="1" s="1"/>
  <c r="O190" i="1" a="1"/>
  <c r="O190" i="1" s="1"/>
  <c r="O191" i="1" a="1"/>
  <c r="O191" i="1" s="1"/>
  <c r="O192" i="1" a="1"/>
  <c r="O192" i="1" s="1"/>
  <c r="O193" i="1" a="1"/>
  <c r="O193" i="1" s="1"/>
  <c r="O194" i="1" a="1"/>
  <c r="O194" i="1" s="1"/>
  <c r="O195" i="1" a="1"/>
  <c r="O195" i="1" s="1"/>
  <c r="O196" i="1" a="1"/>
  <c r="O196" i="1" s="1"/>
  <c r="O197" i="1" a="1"/>
  <c r="O197" i="1" s="1"/>
  <c r="O198" i="1" a="1"/>
  <c r="O198" i="1" s="1"/>
  <c r="O199" i="1" a="1"/>
  <c r="O199" i="1" s="1"/>
  <c r="O200" i="1" a="1"/>
  <c r="O200" i="1" s="1"/>
  <c r="O201" i="1" a="1"/>
  <c r="O201" i="1" s="1"/>
  <c r="O202" i="1" a="1"/>
  <c r="O202" i="1" s="1"/>
  <c r="O203" i="1" a="1"/>
  <c r="O203" i="1"/>
  <c r="O204" i="1" a="1"/>
  <c r="O204" i="1" s="1"/>
  <c r="O205" i="1" a="1"/>
  <c r="O205" i="1" s="1"/>
  <c r="O206" i="1" a="1"/>
  <c r="O206" i="1" s="1"/>
  <c r="O207" i="1" a="1"/>
  <c r="O207" i="1" s="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c r="O221" i="1" a="1"/>
  <c r="O221" i="1" s="1"/>
  <c r="O222" i="1" a="1"/>
  <c r="O222" i="1" s="1"/>
  <c r="O223" i="1" a="1"/>
  <c r="O223" i="1" s="1"/>
  <c r="O224" i="1" a="1"/>
  <c r="O224" i="1" s="1"/>
  <c r="O225" i="1" a="1"/>
  <c r="O225" i="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c r="O244" i="1" a="1"/>
  <c r="O244" i="1" s="1"/>
  <c r="O245" i="1" a="1"/>
  <c r="O245" i="1" s="1"/>
  <c r="O246" i="1" a="1"/>
  <c r="O246" i="1" s="1"/>
  <c r="O247" i="1" a="1"/>
  <c r="O247" i="1" s="1"/>
  <c r="O248" i="1" a="1"/>
  <c r="O248" i="1" s="1"/>
  <c r="O249" i="1" a="1"/>
  <c r="O249" i="1" s="1"/>
  <c r="O250" i="1" a="1"/>
  <c r="O250" i="1" s="1"/>
  <c r="O251" i="1" a="1"/>
  <c r="O251" i="1"/>
  <c r="O252" i="1" a="1"/>
  <c r="O252" i="1"/>
  <c r="O253" i="1" a="1"/>
  <c r="O253" i="1" s="1"/>
  <c r="O254" i="1" a="1"/>
  <c r="O254" i="1" s="1"/>
  <c r="O255" i="1" a="1"/>
  <c r="O255" i="1" s="1"/>
  <c r="O256" i="1" a="1"/>
  <c r="O256" i="1" s="1"/>
  <c r="O257" i="1" a="1"/>
  <c r="O257" i="1" s="1"/>
  <c r="O258" i="1" a="1"/>
  <c r="O258" i="1"/>
  <c r="O259" i="1" a="1"/>
  <c r="O259" i="1" s="1"/>
  <c r="O260" i="1" a="1"/>
  <c r="O260" i="1" s="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c r="O287" i="1" a="1"/>
  <c r="O287" i="1" s="1"/>
  <c r="O288" i="1" a="1"/>
  <c r="O288" i="1"/>
  <c r="O289" i="1" a="1"/>
  <c r="O289" i="1" s="1"/>
  <c r="O290" i="1" a="1"/>
  <c r="O290" i="1" s="1"/>
  <c r="O291" i="1" a="1"/>
  <c r="O291" i="1" s="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c r="O318" i="1" a="1"/>
  <c r="O318" i="1" s="1"/>
  <c r="O319" i="1" a="1"/>
  <c r="O319" i="1" s="1"/>
  <c r="O320" i="1" a="1"/>
  <c r="O320" i="1" s="1"/>
  <c r="O321" i="1" a="1"/>
  <c r="O321" i="1" s="1"/>
  <c r="O322" i="1" a="1"/>
  <c r="O322" i="1" s="1"/>
  <c r="O323" i="1" a="1"/>
  <c r="O323" i="1" s="1"/>
  <c r="O324" i="1" a="1"/>
  <c r="O324" i="1" s="1"/>
  <c r="O325" i="1" a="1"/>
  <c r="O325" i="1" s="1"/>
  <c r="O326" i="1" a="1"/>
  <c r="O326" i="1" s="1"/>
  <c r="O327" i="1" a="1"/>
  <c r="O327" i="1" s="1"/>
  <c r="O328" i="1" a="1"/>
  <c r="O328" i="1" s="1"/>
  <c r="O329" i="1" a="1"/>
  <c r="O329" i="1" s="1"/>
  <c r="O330" i="1" a="1"/>
  <c r="O330" i="1" s="1"/>
  <c r="O331" i="1" a="1"/>
  <c r="O331" i="1" s="1"/>
  <c r="O332" i="1" a="1"/>
  <c r="O332" i="1" s="1"/>
  <c r="O333" i="1" a="1"/>
  <c r="O333" i="1" s="1"/>
  <c r="O334" i="1" a="1"/>
  <c r="O334" i="1" s="1"/>
  <c r="O335" i="1" a="1"/>
  <c r="O335" i="1" s="1"/>
  <c r="O336" i="1" a="1"/>
  <c r="O336" i="1" s="1"/>
  <c r="O337" i="1" a="1"/>
  <c r="O337" i="1" s="1"/>
  <c r="O338" i="1" a="1"/>
  <c r="O338" i="1" s="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c r="O359" i="1" a="1"/>
  <c r="O359" i="1" s="1"/>
  <c r="O360" i="1" a="1"/>
  <c r="O360" i="1" s="1"/>
  <c r="O361" i="1" a="1"/>
  <c r="O361" i="1" s="1"/>
  <c r="O362" i="1" a="1"/>
  <c r="O362" i="1" s="1"/>
  <c r="O363" i="1" a="1"/>
  <c r="O363" i="1" s="1"/>
  <c r="O364" i="1" a="1"/>
  <c r="O364" i="1"/>
  <c r="O365" i="1" a="1"/>
  <c r="O365" i="1" s="1"/>
  <c r="O366" i="1" a="1"/>
  <c r="O366" i="1" s="1"/>
  <c r="O367" i="1" a="1"/>
  <c r="O367" i="1" s="1"/>
  <c r="O368" i="1" a="1"/>
  <c r="O368" i="1" s="1"/>
  <c r="O369" i="1" a="1"/>
  <c r="O369" i="1" s="1"/>
  <c r="O370" i="1" a="1"/>
  <c r="O370" i="1" s="1"/>
  <c r="O371" i="1" a="1"/>
  <c r="O371" i="1" s="1"/>
  <c r="O372" i="1" a="1"/>
  <c r="O372" i="1"/>
  <c r="O373" i="1" a="1"/>
  <c r="O373" i="1"/>
  <c r="O374" i="1" a="1"/>
  <c r="O374" i="1" s="1"/>
  <c r="O375" i="1" a="1"/>
  <c r="O375" i="1" s="1"/>
  <c r="O376" i="1" a="1"/>
  <c r="O376" i="1" s="1"/>
  <c r="O377" i="1" a="1"/>
  <c r="O377" i="1" s="1"/>
  <c r="O378" i="1" a="1"/>
  <c r="O378" i="1" s="1"/>
  <c r="O379" i="1" a="1"/>
  <c r="O379" i="1" s="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c r="O403" i="1" a="1"/>
  <c r="O403" i="1" s="1"/>
  <c r="O404" i="1" a="1"/>
  <c r="O404" i="1" s="1"/>
  <c r="O405" i="1" a="1"/>
  <c r="O405" i="1" s="1"/>
  <c r="O406" i="1" a="1"/>
  <c r="O406" i="1" s="1"/>
  <c r="O407" i="1" a="1"/>
  <c r="O407" i="1" s="1"/>
  <c r="O408" i="1" a="1"/>
  <c r="O408" i="1" s="1"/>
  <c r="O409" i="1" a="1"/>
  <c r="O409" i="1" s="1"/>
  <c r="O410" i="1" a="1"/>
  <c r="O410" i="1" s="1"/>
  <c r="O411" i="1" a="1"/>
  <c r="O411" i="1"/>
  <c r="O412" i="1" a="1"/>
  <c r="O412" i="1" s="1"/>
  <c r="O413" i="1" a="1"/>
  <c r="O413" i="1" s="1"/>
  <c r="O414" i="1" a="1"/>
  <c r="O414" i="1" s="1"/>
  <c r="O415" i="1" a="1"/>
  <c r="O415" i="1" s="1"/>
  <c r="O416" i="1" a="1"/>
  <c r="O416" i="1" s="1"/>
  <c r="O417" i="1" a="1"/>
  <c r="O417" i="1" s="1"/>
  <c r="O418" i="1" a="1"/>
  <c r="O418" i="1" s="1"/>
  <c r="O419" i="1" a="1"/>
  <c r="O419" i="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c r="O434" i="1" a="1"/>
  <c r="O434" i="1" s="1"/>
  <c r="O435" i="1" a="1"/>
  <c r="O435" i="1" s="1"/>
  <c r="O436" i="1" a="1"/>
  <c r="O436" i="1" s="1"/>
  <c r="O437" i="1" a="1"/>
  <c r="O437" i="1" s="1"/>
  <c r="O438" i="1" a="1"/>
  <c r="O438" i="1" s="1"/>
  <c r="O439" i="1" a="1"/>
  <c r="O439" i="1" s="1"/>
  <c r="O440" i="1" a="1"/>
  <c r="O440" i="1" s="1"/>
  <c r="O441" i="1" a="1"/>
  <c r="O441" i="1" s="1"/>
  <c r="O442" i="1" a="1"/>
  <c r="O442" i="1"/>
  <c r="O443" i="1" a="1"/>
  <c r="O443" i="1" s="1"/>
  <c r="O444" i="1" a="1"/>
  <c r="O444" i="1" s="1"/>
  <c r="O445" i="1" a="1"/>
  <c r="O445" i="1"/>
  <c r="O446" i="1" a="1"/>
  <c r="O446" i="1" s="1"/>
  <c r="O447" i="1" a="1"/>
  <c r="O447" i="1" s="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c r="O464" i="1" a="1"/>
  <c r="O464" i="1" s="1"/>
  <c r="O465" i="1" a="1"/>
  <c r="O465" i="1" s="1"/>
  <c r="O466" i="1" a="1"/>
  <c r="O466" i="1" s="1"/>
  <c r="O467" i="1" a="1"/>
  <c r="O467" i="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c r="O488" i="1" a="1"/>
  <c r="O488" i="1" s="1"/>
  <c r="O489" i="1" a="1"/>
  <c r="O489" i="1" s="1"/>
  <c r="O490" i="1" a="1"/>
  <c r="O490" i="1" s="1"/>
  <c r="O491" i="1" a="1"/>
  <c r="O491" i="1" s="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c r="O506" i="1" a="1"/>
  <c r="O506" i="1" s="1"/>
  <c r="O507" i="1" a="1"/>
  <c r="O507" i="1" s="1"/>
  <c r="O508" i="1" a="1"/>
  <c r="O508" i="1" s="1"/>
  <c r="O509" i="1" a="1"/>
  <c r="O509" i="1" s="1"/>
  <c r="O510" i="1" a="1"/>
  <c r="O510" i="1" s="1"/>
  <c r="O511" i="1" a="1"/>
  <c r="O511" i="1" s="1"/>
  <c r="O512" i="1" a="1"/>
  <c r="O512" i="1" s="1"/>
  <c r="O513" i="1" a="1"/>
  <c r="O513" i="1" s="1"/>
  <c r="O514" i="1" a="1"/>
  <c r="O514" i="1"/>
  <c r="O515" i="1" a="1"/>
  <c r="O515" i="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s="1"/>
  <c r="O527" i="1" a="1"/>
  <c r="O527" i="1"/>
  <c r="O528" i="1" a="1"/>
  <c r="O528" i="1" s="1"/>
  <c r="O529" i="1" a="1"/>
  <c r="O529" i="1" s="1"/>
  <c r="O530" i="1" a="1"/>
  <c r="O530" i="1" s="1"/>
  <c r="O531" i="1" a="1"/>
  <c r="O531" i="1"/>
  <c r="O532" i="1" a="1"/>
  <c r="O532" i="1" s="1"/>
  <c r="O533" i="1" a="1"/>
  <c r="O533" i="1" s="1"/>
  <c r="O534" i="1" a="1"/>
  <c r="O534" i="1" s="1"/>
  <c r="O535" i="1" a="1"/>
  <c r="O535" i="1" s="1"/>
  <c r="O536" i="1" a="1"/>
  <c r="O536" i="1" s="1"/>
  <c r="O537" i="1" a="1"/>
  <c r="O537" i="1" s="1"/>
  <c r="O538" i="1" a="1"/>
  <c r="O538" i="1" s="1"/>
  <c r="O539" i="1" a="1"/>
  <c r="O539" i="1" s="1"/>
  <c r="O540" i="1" a="1"/>
  <c r="O540" i="1" s="1"/>
  <c r="O541" i="1" a="1"/>
  <c r="O541" i="1"/>
  <c r="O542" i="1" a="1"/>
  <c r="O542" i="1" s="1"/>
  <c r="O543" i="1" a="1"/>
  <c r="O543" i="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c r="O560" i="1" a="1"/>
  <c r="O560" i="1" s="1"/>
  <c r="O561" i="1" a="1"/>
  <c r="O561" i="1" s="1"/>
  <c r="O562" i="1" a="1"/>
  <c r="O562" i="1" s="1"/>
  <c r="O563" i="1" a="1"/>
  <c r="O563" i="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s="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c r="O598" i="1" a="1"/>
  <c r="O598" i="1" s="1"/>
  <c r="O599" i="1" a="1"/>
  <c r="O599" i="1" s="1"/>
  <c r="O600" i="1" a="1"/>
  <c r="O600" i="1" s="1"/>
  <c r="O601" i="1" a="1"/>
  <c r="O601" i="1" s="1"/>
  <c r="O602" i="1" a="1"/>
  <c r="O602" i="1" s="1"/>
  <c r="O603" i="1" a="1"/>
  <c r="O603" i="1" s="1"/>
  <c r="O604" i="1" a="1"/>
  <c r="O604" i="1" s="1"/>
  <c r="O605" i="1" a="1"/>
  <c r="O605" i="1" s="1"/>
  <c r="O606" i="1" a="1"/>
  <c r="O606" i="1" s="1"/>
  <c r="O607" i="1" a="1"/>
  <c r="O607" i="1"/>
  <c r="O608" i="1" a="1"/>
  <c r="O608" i="1" s="1"/>
  <c r="O609" i="1" a="1"/>
  <c r="O609" i="1" s="1"/>
  <c r="O610" i="1" a="1"/>
  <c r="O610" i="1" s="1"/>
  <c r="O611" i="1" a="1"/>
  <c r="O611" i="1"/>
  <c r="O612" i="1" a="1"/>
  <c r="O612" i="1" s="1"/>
  <c r="O613" i="1" a="1"/>
  <c r="O613" i="1" s="1"/>
  <c r="O614" i="1" a="1"/>
  <c r="O614" i="1" s="1"/>
  <c r="O615" i="1" a="1"/>
  <c r="O615" i="1" s="1"/>
  <c r="O616" i="1" a="1"/>
  <c r="O616" i="1" s="1"/>
  <c r="O617" i="1" a="1"/>
  <c r="O617" i="1" s="1"/>
  <c r="O618" i="1" a="1"/>
  <c r="O618" i="1" s="1"/>
  <c r="O619" i="1" a="1"/>
  <c r="O619" i="1" s="1"/>
  <c r="O620" i="1" a="1"/>
  <c r="O620" i="1" s="1"/>
  <c r="O621" i="1" a="1"/>
  <c r="O621" i="1" s="1"/>
  <c r="O622" i="1" a="1"/>
  <c r="O622" i="1" s="1"/>
  <c r="O623" i="1" a="1"/>
  <c r="O623" i="1" s="1"/>
  <c r="O624" i="1" a="1"/>
  <c r="O624" i="1" s="1"/>
  <c r="O625" i="1" a="1"/>
  <c r="O625" i="1" s="1"/>
  <c r="O626" i="1" a="1"/>
  <c r="O626" i="1" s="1"/>
  <c r="O627" i="1" a="1"/>
  <c r="O627" i="1" s="1"/>
  <c r="O628" i="1" a="1"/>
  <c r="O628" i="1"/>
  <c r="O629" i="1" a="1"/>
  <c r="O629" i="1" s="1"/>
  <c r="O630" i="1" a="1"/>
  <c r="O630" i="1" s="1"/>
  <c r="O631" i="1" a="1"/>
  <c r="O631" i="1" s="1"/>
  <c r="O632" i="1" a="1"/>
  <c r="O632" i="1" s="1"/>
  <c r="O633" i="1" a="1"/>
  <c r="O633" i="1" s="1"/>
  <c r="O634" i="1" a="1"/>
  <c r="O634" i="1" s="1"/>
  <c r="O635" i="1" a="1"/>
  <c r="O635" i="1"/>
  <c r="O636" i="1" a="1"/>
  <c r="O636" i="1" s="1"/>
  <c r="O637" i="1" a="1"/>
  <c r="O637" i="1" s="1"/>
  <c r="O638" i="1" a="1"/>
  <c r="O638" i="1" s="1"/>
  <c r="O639" i="1" a="1"/>
  <c r="O639" i="1" s="1"/>
  <c r="O640" i="1" a="1"/>
  <c r="O640" i="1" s="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s="1"/>
  <c r="O662" i="1" a="1"/>
  <c r="O662" i="1" s="1"/>
  <c r="O663" i="1" a="1"/>
  <c r="O663" i="1" s="1"/>
  <c r="O664" i="1" a="1"/>
  <c r="O664" i="1" s="1"/>
  <c r="O665" i="1" a="1"/>
  <c r="O665" i="1"/>
  <c r="O666" i="1" a="1"/>
  <c r="O666" i="1" s="1"/>
  <c r="O667" i="1" a="1"/>
  <c r="O667" i="1" s="1"/>
  <c r="O668" i="1" a="1"/>
  <c r="O668" i="1"/>
  <c r="O669" i="1" a="1"/>
  <c r="O669" i="1" s="1"/>
  <c r="O670" i="1" a="1"/>
  <c r="O670" i="1" s="1"/>
  <c r="O671" i="1" a="1"/>
  <c r="O671" i="1" s="1"/>
  <c r="O672" i="1" a="1"/>
  <c r="O672" i="1" s="1"/>
  <c r="O673" i="1" a="1"/>
  <c r="O673" i="1" s="1"/>
  <c r="O674" i="1" a="1"/>
  <c r="O674" i="1" s="1"/>
  <c r="O675" i="1" a="1"/>
  <c r="O675" i="1" s="1"/>
  <c r="O676" i="1" a="1"/>
  <c r="O676" i="1" s="1"/>
  <c r="O677" i="1" a="1"/>
  <c r="O677" i="1"/>
  <c r="O678" i="1" a="1"/>
  <c r="O678" i="1" s="1"/>
  <c r="O679" i="1" a="1"/>
  <c r="O679" i="1"/>
  <c r="O680" i="1" a="1"/>
  <c r="O680" i="1" s="1"/>
  <c r="O681" i="1" a="1"/>
  <c r="O681" i="1" s="1"/>
  <c r="O682" i="1" a="1"/>
  <c r="O682" i="1"/>
  <c r="O683" i="1" a="1"/>
  <c r="O683" i="1" s="1"/>
  <c r="O684" i="1" a="1"/>
  <c r="O684" i="1" s="1"/>
  <c r="O685" i="1" a="1"/>
  <c r="O685" i="1" s="1"/>
  <c r="O686" i="1" a="1"/>
  <c r="O686" i="1" s="1"/>
  <c r="O687" i="1" a="1"/>
  <c r="O687" i="1" s="1"/>
  <c r="O688" i="1" a="1"/>
  <c r="O688" i="1" s="1"/>
  <c r="O689" i="1" a="1"/>
  <c r="O689" i="1" s="1"/>
  <c r="O690" i="1" a="1"/>
  <c r="O690" i="1" s="1"/>
  <c r="O691" i="1" a="1"/>
  <c r="O691" i="1" s="1"/>
  <c r="O692" i="1" a="1"/>
  <c r="O692" i="1" s="1"/>
  <c r="O693" i="1" a="1"/>
  <c r="O693" i="1" s="1"/>
  <c r="O694" i="1" a="1"/>
  <c r="O694" i="1" s="1"/>
  <c r="O695" i="1" a="1"/>
  <c r="O695" i="1" s="1"/>
  <c r="O696" i="1" a="1"/>
  <c r="O696" i="1" s="1"/>
  <c r="O697" i="1" a="1"/>
  <c r="O697" i="1" s="1"/>
  <c r="O698" i="1" a="1"/>
  <c r="O698" i="1" s="1"/>
  <c r="O699" i="1" a="1"/>
  <c r="O699" i="1"/>
  <c r="O700" i="1" a="1"/>
  <c r="O700" i="1" s="1"/>
  <c r="O701" i="1" a="1"/>
  <c r="O701" i="1" s="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c r="O729" i="1" a="1"/>
  <c r="O729" i="1"/>
  <c r="O730" i="1" a="1"/>
  <c r="O730" i="1" s="1"/>
  <c r="O731" i="1" a="1"/>
  <c r="O731" i="1" s="1"/>
  <c r="O732" i="1" a="1"/>
  <c r="O732" i="1" s="1"/>
  <c r="O733" i="1" a="1"/>
  <c r="O733" i="1" s="1"/>
  <c r="O734" i="1" a="1"/>
  <c r="O734" i="1" s="1"/>
  <c r="O735" i="1" a="1"/>
  <c r="O735" i="1" s="1"/>
  <c r="O736" i="1" a="1"/>
  <c r="O736" i="1" s="1"/>
  <c r="O737" i="1" a="1"/>
  <c r="O737" i="1" s="1"/>
  <c r="O738" i="1" a="1"/>
  <c r="O738" i="1" s="1"/>
  <c r="O739" i="1" a="1"/>
  <c r="O739" i="1" s="1"/>
  <c r="O740" i="1" a="1"/>
  <c r="O740" i="1"/>
  <c r="O741" i="1" a="1"/>
  <c r="O741" i="1" s="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s="1"/>
  <c r="O754" i="1" a="1"/>
  <c r="O754" i="1" s="1"/>
  <c r="O755" i="1" a="1"/>
  <c r="O755" i="1" s="1"/>
  <c r="O756" i="1" a="1"/>
  <c r="O756" i="1" s="1"/>
  <c r="O757" i="1" a="1"/>
  <c r="O757" i="1" s="1"/>
  <c r="O758" i="1" a="1"/>
  <c r="O758" i="1" s="1"/>
  <c r="O759" i="1" a="1"/>
  <c r="O759" i="1"/>
  <c r="O760" i="1" a="1"/>
  <c r="O760" i="1" s="1"/>
  <c r="O761" i="1" a="1"/>
  <c r="O761" i="1" s="1"/>
  <c r="O762" i="1" a="1"/>
  <c r="O762" i="1" s="1"/>
  <c r="O763" i="1" a="1"/>
  <c r="O763" i="1" s="1"/>
  <c r="O764" i="1" a="1"/>
  <c r="O764" i="1" s="1"/>
  <c r="O765" i="1" a="1"/>
  <c r="O765" i="1" s="1"/>
  <c r="O766" i="1" a="1"/>
  <c r="O766" i="1"/>
  <c r="O767" i="1" a="1"/>
  <c r="O767" i="1"/>
  <c r="O768" i="1" a="1"/>
  <c r="O768" i="1" s="1"/>
  <c r="O769" i="1" a="1"/>
  <c r="O769" i="1" s="1"/>
  <c r="O770" i="1" a="1"/>
  <c r="O770" i="1" s="1"/>
  <c r="O771" i="1" a="1"/>
  <c r="O771" i="1" s="1"/>
  <c r="O772" i="1" a="1"/>
  <c r="O772" i="1" s="1"/>
  <c r="O773" i="1" a="1"/>
  <c r="O773" i="1" s="1"/>
  <c r="O774" i="1" a="1"/>
  <c r="O774" i="1" s="1"/>
  <c r="O775" i="1" a="1"/>
  <c r="O775" i="1"/>
  <c r="O776" i="1" a="1"/>
  <c r="O776" i="1" s="1"/>
  <c r="O777" i="1" a="1"/>
  <c r="O777" i="1"/>
  <c r="O778" i="1" a="1"/>
  <c r="O778" i="1" s="1"/>
  <c r="O779" i="1" a="1"/>
  <c r="O779" i="1" s="1"/>
  <c r="O780" i="1" a="1"/>
  <c r="O780" i="1" s="1"/>
  <c r="O781" i="1" a="1"/>
  <c r="O781" i="1" s="1"/>
  <c r="O782" i="1" a="1"/>
  <c r="O782" i="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c r="O800" i="1" a="1"/>
  <c r="O800" i="1" s="1"/>
  <c r="O801" i="1" a="1"/>
  <c r="O801" i="1" s="1"/>
  <c r="O802" i="1" a="1"/>
  <c r="O802" i="1" s="1"/>
  <c r="O803" i="1" a="1"/>
  <c r="O803" i="1" s="1"/>
  <c r="O804" i="1" a="1"/>
  <c r="O804" i="1" s="1"/>
  <c r="O805" i="1" a="1"/>
  <c r="O805" i="1" s="1"/>
  <c r="O806" i="1" a="1"/>
  <c r="O806" i="1" s="1"/>
  <c r="O807" i="1" a="1"/>
  <c r="O807" i="1" s="1"/>
  <c r="O808" i="1" a="1"/>
  <c r="O808" i="1" s="1"/>
  <c r="O809" i="1" a="1"/>
  <c r="O809" i="1" s="1"/>
  <c r="O810" i="1" a="1"/>
  <c r="O810" i="1" s="1"/>
  <c r="O811" i="1" a="1"/>
  <c r="O811" i="1" s="1"/>
  <c r="O812" i="1" a="1"/>
  <c r="O812" i="1" s="1"/>
  <c r="O813" i="1" a="1"/>
  <c r="O813" i="1" s="1"/>
  <c r="O814" i="1" a="1"/>
  <c r="O814" i="1"/>
  <c r="O815" i="1" a="1"/>
  <c r="O815" i="1"/>
  <c r="O816" i="1" a="1"/>
  <c r="O816" i="1" s="1"/>
  <c r="O817" i="1" a="1"/>
  <c r="O817" i="1" s="1"/>
  <c r="O818" i="1" a="1"/>
  <c r="O818" i="1" s="1"/>
  <c r="O819" i="1" a="1"/>
  <c r="O819" i="1" s="1"/>
  <c r="O820" i="1" a="1"/>
  <c r="O820" i="1"/>
  <c r="O821" i="1" a="1"/>
  <c r="O821" i="1" s="1"/>
  <c r="O822" i="1" a="1"/>
  <c r="O822" i="1" s="1"/>
  <c r="O823" i="1" a="1"/>
  <c r="O823" i="1" s="1"/>
  <c r="O824" i="1" a="1"/>
  <c r="O824" i="1" s="1"/>
  <c r="O825" i="1" a="1"/>
  <c r="O825" i="1" s="1"/>
  <c r="O826" i="1" a="1"/>
  <c r="O826" i="1" s="1"/>
  <c r="O827" i="1" a="1"/>
  <c r="O827" i="1" s="1"/>
  <c r="O828" i="1" a="1"/>
  <c r="O828" i="1"/>
  <c r="O829" i="1" a="1"/>
  <c r="O829" i="1" s="1"/>
  <c r="O830" i="1" a="1"/>
  <c r="O830" i="1" s="1"/>
  <c r="O831" i="1" a="1"/>
  <c r="O831" i="1" s="1"/>
  <c r="O832" i="1" a="1"/>
  <c r="O832" i="1" s="1"/>
  <c r="O833" i="1" a="1"/>
  <c r="O833" i="1" s="1"/>
  <c r="O834" i="1" a="1"/>
  <c r="O834" i="1" s="1"/>
  <c r="O835" i="1" a="1"/>
  <c r="O835" i="1"/>
  <c r="O836" i="1" a="1"/>
  <c r="O836" i="1" s="1"/>
  <c r="O837" i="1" a="1"/>
  <c r="O837" i="1"/>
  <c r="O838" i="1" a="1"/>
  <c r="O838" i="1" s="1"/>
  <c r="O839" i="1" a="1"/>
  <c r="O839" i="1" s="1"/>
  <c r="O840" i="1" a="1"/>
  <c r="O840" i="1" s="1"/>
  <c r="O841" i="1" a="1"/>
  <c r="O841" i="1" s="1"/>
  <c r="O842" i="1" a="1"/>
  <c r="O842" i="1" s="1"/>
  <c r="O843" i="1" a="1"/>
  <c r="O843" i="1" s="1"/>
  <c r="O844" i="1" a="1"/>
  <c r="O844" i="1"/>
  <c r="O845" i="1" a="1"/>
  <c r="O845" i="1" s="1"/>
  <c r="O846" i="1" a="1"/>
  <c r="O846" i="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c r="O859" i="1" a="1"/>
  <c r="O859" i="1"/>
  <c r="O860" i="1" a="1"/>
  <c r="O860" i="1" s="1"/>
  <c r="O861" i="1" a="1"/>
  <c r="O861" i="1" s="1"/>
  <c r="O862" i="1" a="1"/>
  <c r="O862" i="1" s="1"/>
  <c r="O863" i="1" a="1"/>
  <c r="O863" i="1" s="1"/>
  <c r="O864" i="1" a="1"/>
  <c r="O864" i="1" s="1"/>
  <c r="O865" i="1" a="1"/>
  <c r="O865" i="1" s="1"/>
  <c r="O866" i="1" a="1"/>
  <c r="O866" i="1" s="1"/>
  <c r="O867" i="1" a="1"/>
  <c r="O867" i="1" s="1"/>
  <c r="O868" i="1" a="1"/>
  <c r="O868" i="1" s="1"/>
  <c r="O869" i="1" a="1"/>
  <c r="O869" i="1" s="1"/>
  <c r="O870" i="1" a="1"/>
  <c r="O870" i="1" s="1"/>
  <c r="O871" i="1" a="1"/>
  <c r="O871" i="1" s="1"/>
  <c r="O872" i="1" a="1"/>
  <c r="O872" i="1" s="1"/>
  <c r="O873" i="1" a="1"/>
  <c r="O873" i="1"/>
  <c r="O874" i="1" a="1"/>
  <c r="O874" i="1"/>
  <c r="O875" i="1" a="1"/>
  <c r="O875" i="1" s="1"/>
  <c r="O876" i="1" a="1"/>
  <c r="O876" i="1"/>
  <c r="O877" i="1" a="1"/>
  <c r="O877" i="1" s="1"/>
  <c r="O878" i="1" a="1"/>
  <c r="O878" i="1" s="1"/>
  <c r="O879" i="1" a="1"/>
  <c r="O879" i="1" s="1"/>
  <c r="O880" i="1" a="1"/>
  <c r="O880" i="1" s="1"/>
  <c r="O881" i="1" a="1"/>
  <c r="O881" i="1"/>
  <c r="O882" i="1" a="1"/>
  <c r="O882" i="1" s="1"/>
  <c r="O883" i="1" a="1"/>
  <c r="O883" i="1" s="1"/>
  <c r="O884" i="1" a="1"/>
  <c r="O884" i="1" s="1"/>
  <c r="O885" i="1" a="1"/>
  <c r="O885" i="1" s="1"/>
  <c r="O886" i="1" a="1"/>
  <c r="O886" i="1" s="1"/>
  <c r="O887" i="1" a="1"/>
  <c r="O887" i="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c r="O904" i="1" a="1"/>
  <c r="O904" i="1"/>
  <c r="O905" i="1" a="1"/>
  <c r="O905" i="1"/>
  <c r="O906" i="1" a="1"/>
  <c r="O906" i="1" s="1"/>
  <c r="O907" i="1" a="1"/>
  <c r="O907" i="1" s="1"/>
  <c r="O908" i="1" a="1"/>
  <c r="O908" i="1" s="1"/>
  <c r="O909" i="1" a="1"/>
  <c r="O909" i="1" s="1"/>
  <c r="O910" i="1" a="1"/>
  <c r="O910" i="1" s="1"/>
  <c r="O911" i="1" a="1"/>
  <c r="O911" i="1"/>
  <c r="O912" i="1" a="1"/>
  <c r="O912" i="1"/>
  <c r="O913" i="1" a="1"/>
  <c r="O913" i="1" s="1"/>
  <c r="O914" i="1" a="1"/>
  <c r="O914" i="1" s="1"/>
  <c r="O915" i="1" a="1"/>
  <c r="O915" i="1" s="1"/>
  <c r="O916" i="1" a="1"/>
  <c r="O916" i="1"/>
  <c r="O917" i="1" a="1"/>
  <c r="O917" i="1" s="1"/>
  <c r="O918" i="1" a="1"/>
  <c r="O918" i="1" s="1"/>
  <c r="O919" i="1" a="1"/>
  <c r="O919" i="1" s="1"/>
  <c r="O920" i="1" a="1"/>
  <c r="O920" i="1" s="1"/>
  <c r="O921" i="1" a="1"/>
  <c r="O921" i="1" s="1"/>
  <c r="O922" i="1" a="1"/>
  <c r="O922" i="1" s="1"/>
  <c r="O923" i="1" a="1"/>
  <c r="O923" i="1" s="1"/>
  <c r="O924" i="1" a="1"/>
  <c r="O924" i="1" s="1"/>
  <c r="O925" i="1" a="1"/>
  <c r="O925" i="1"/>
  <c r="O926" i="1" a="1"/>
  <c r="O926" i="1" s="1"/>
  <c r="O927" i="1" a="1"/>
  <c r="O927" i="1"/>
  <c r="O928" i="1" a="1"/>
  <c r="O928" i="1" s="1"/>
  <c r="O929" i="1" a="1"/>
  <c r="O929" i="1" s="1"/>
  <c r="O930" i="1" a="1"/>
  <c r="O930" i="1" s="1"/>
  <c r="O931" i="1" a="1"/>
  <c r="O931" i="1" s="1"/>
  <c r="O932" i="1" a="1"/>
  <c r="O932" i="1" s="1"/>
  <c r="O933" i="1" a="1"/>
  <c r="O933" i="1"/>
  <c r="O934" i="1" a="1"/>
  <c r="O934" i="1" s="1"/>
  <c r="O935" i="1" a="1"/>
  <c r="O935" i="1" s="1"/>
  <c r="O936" i="1" a="1"/>
  <c r="O936" i="1" s="1"/>
  <c r="O937" i="1" a="1"/>
  <c r="O937" i="1" s="1"/>
  <c r="O938" i="1" a="1"/>
  <c r="O938" i="1" s="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s="1"/>
  <c r="O950" i="1" a="1"/>
  <c r="O950" i="1" s="1"/>
  <c r="O951" i="1" a="1"/>
  <c r="O951" i="1" s="1"/>
  <c r="O952" i="1" a="1"/>
  <c r="O952" i="1" s="1"/>
  <c r="O953" i="1" a="1"/>
  <c r="O953" i="1"/>
  <c r="O954" i="1" a="1"/>
  <c r="O954" i="1" s="1"/>
  <c r="O955" i="1" a="1"/>
  <c r="O955" i="1"/>
  <c r="O956" i="1" a="1"/>
  <c r="O956" i="1" s="1"/>
  <c r="O957" i="1" a="1"/>
  <c r="O957" i="1" s="1"/>
  <c r="O958" i="1" a="1"/>
  <c r="O958" i="1" s="1"/>
  <c r="O959" i="1" a="1"/>
  <c r="O959" i="1" s="1"/>
  <c r="O960" i="1" a="1"/>
  <c r="O960" i="1" s="1"/>
  <c r="O961" i="1" a="1"/>
  <c r="O961" i="1"/>
  <c r="O962" i="1" a="1"/>
  <c r="O962" i="1" s="1"/>
  <c r="O963" i="1" a="1"/>
  <c r="O963" i="1" s="1"/>
  <c r="O964" i="1" a="1"/>
  <c r="O964" i="1" s="1"/>
  <c r="O965" i="1" a="1"/>
  <c r="O965" i="1" s="1"/>
  <c r="O966" i="1" a="1"/>
  <c r="O966" i="1" s="1"/>
  <c r="O967" i="1" a="1"/>
  <c r="O967" i="1" s="1"/>
  <c r="O968" i="1" a="1"/>
  <c r="O968" i="1" s="1"/>
  <c r="O969" i="1" a="1"/>
  <c r="O969" i="1" s="1"/>
  <c r="O970" i="1" a="1"/>
  <c r="O970" i="1" s="1"/>
  <c r="O971" i="1" a="1"/>
  <c r="O971" i="1" s="1"/>
  <c r="O972" i="1" a="1"/>
  <c r="O972" i="1"/>
  <c r="O973" i="1" a="1"/>
  <c r="O973" i="1" s="1"/>
  <c r="O974" i="1" a="1"/>
  <c r="O974" i="1" s="1"/>
  <c r="O975" i="1" a="1"/>
  <c r="O975" i="1" s="1"/>
  <c r="O976" i="1" a="1"/>
  <c r="O976" i="1" s="1"/>
  <c r="O977" i="1" a="1"/>
  <c r="O977" i="1" s="1"/>
  <c r="O978" i="1" a="1"/>
  <c r="O978" i="1" s="1"/>
  <c r="O979" i="1" a="1"/>
  <c r="O979" i="1" s="1"/>
  <c r="O980" i="1" a="1"/>
  <c r="O980" i="1" s="1"/>
  <c r="O981" i="1" a="1"/>
  <c r="O981" i="1" s="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s="1"/>
  <c r="O994" i="1" a="1"/>
  <c r="O994" i="1" s="1"/>
  <c r="O995" i="1" a="1"/>
  <c r="O995" i="1" s="1"/>
  <c r="O996" i="1" a="1"/>
  <c r="O996" i="1" s="1"/>
  <c r="O997" i="1" a="1"/>
  <c r="O997" i="1" s="1"/>
  <c r="O998" i="1" a="1"/>
  <c r="O998" i="1" s="1"/>
  <c r="O999" i="1" a="1"/>
  <c r="O999" i="1" s="1"/>
  <c r="O1000" i="1" a="1"/>
  <c r="O1000" i="1" s="1"/>
  <c r="O1001" i="1" a="1"/>
  <c r="O1001"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<sst xmlns="http://schemas.openxmlformats.org/spreadsheetml/2006/main" count="8048" uniqueCount="52">
  <si>
    <t>ID</t>
  </si>
  <si>
    <t>Gender</t>
  </si>
  <si>
    <t>Income</t>
  </si>
  <si>
    <t>Children</t>
  </si>
  <si>
    <t>Education</t>
  </si>
  <si>
    <t>Occupation</t>
  </si>
  <si>
    <t>Home Owner</t>
  </si>
  <si>
    <t>Cars</t>
  </si>
  <si>
    <t>Commute Distance</t>
  </si>
  <si>
    <t>Region</t>
  </si>
  <si>
    <t>Age</t>
  </si>
  <si>
    <t>Bachelors</t>
  </si>
  <si>
    <t>Skilled Manual</t>
  </si>
  <si>
    <t>Yes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</si>
  <si>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</si>
  <si>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</si>
  <si>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</si>
  <si>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</si>
  <si>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</si>
  <si>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</si>
  <si>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</si>
  <si>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</si>
  <si>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</si>
  <si>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</si>
  <si>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</si>
  <si>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</si>
  <si>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</si>
  <si>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</si>
  <si>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</si>
  <si>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</si>
  <si>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</si>
  <si>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</si>
  <si>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Marital Status X</t>
  </si>
  <si>
    <t xml:space="preserve">Marital Status </t>
  </si>
  <si>
    <t>GenderX</t>
  </si>
  <si>
    <t>0-1 Mile</t>
  </si>
  <si>
    <t>Age Group</t>
  </si>
  <si>
    <t>Row Labels</t>
  </si>
  <si>
    <t>Female</t>
  </si>
  <si>
    <t>Male</t>
  </si>
  <si>
    <t>Grand Total</t>
  </si>
  <si>
    <t>Column Labels</t>
  </si>
  <si>
    <t>Average of Income</t>
  </si>
  <si>
    <t xml:space="preserve">Purchased Bike </t>
  </si>
  <si>
    <t>Purchased BikeX</t>
  </si>
  <si>
    <t>Not Purchased</t>
  </si>
  <si>
    <t>Purchased</t>
  </si>
  <si>
    <t xml:space="preserve">Count of Purchased Bike </t>
  </si>
  <si>
    <t>More Than 10 Miles Miles</t>
  </si>
  <si>
    <t>Adolescent</t>
  </si>
  <si>
    <t>Middle Aged</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</si>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</sst>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1" formatCode="0"/>
    </dxf>
    <dxf>
      <numFmt numFmtId="1" formatCode="0"/>
    </dxf>
    <dxf>
      <numFmt numFmtId="164" formatCode="&quot;₹&quot;\ #,##0"/>
    </dxf>
    <dxf>
      <font>
        <b/>
        <i val="0"/>
        <sz val="12"/>
        <name val="Calibri Light"/>
        <family val="2"/>
        <scheme val="major"/>
      </font>
    </dxf>
    <dxf>
      <fill>
        <patternFill>
          <bgColor rgb="FFFFFF99"/>
        </patternFill>
      </fill>
    </dxf>
  </dxfs>
  <tableStyles count="2" defaultTableStyle="TableStyleMedium2" defaultPivotStyle="PivotStyleLight16">
    <tableStyle name="Invisible" pivot="0" table="0" count="0" xr9:uid="{01D9C55D-7F13-474E-94D8-F7EF07D4D462}"/>
    <tableStyle name="Slicer Style 1" pivot="0" table="0" count="3" xr9:uid="{5C420032-E44B-4D3A-BD07-4AE5F47F707A}">
      <tableStyleElement type="wholeTable" dxfId="6"/>
      <tableStyleElement type="headerRow" dxfId="5"/>
    </tableStyle>
  </tableStyles>
  <colors>
    <mruColors>
      <color rgb="FF339933"/>
      <color rgb="FFFFFF99"/>
    </mruColors>
  </colors>
  <extLst>
    <ext xmlns:x14="http://schemas.microsoft.com/office/spreadsheetml/2009/9/main" uri="{46F421CA-312F-682f-3DD2-61675219B42D}">
      <x14:dxfs count="1">
        <dxf>
          <font>
            <b/>
            <i val="0"/>
            <sz val="10"/>
            <name val="Calibri"/>
            <family val="2"/>
            <scheme val="minor"/>
          </font>
          <fill>
            <patternFill>
              <bgColor rgb="FF339933"/>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Dataset.xlsx]Income Per Purchase!PivotTable1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'Income Per Purchase'!$B$3:$B$4</c:f>
              <c:strCache>
                <c:ptCount val="1"/>
                <c:pt idx="0">
                  <c:v>Not Purchased</c:v>
                </c:pt>
              </c:strCache>
            </c:strRef>
          </c:tx>
          <c:spPr>
            <a:solidFill>
              <a:srgbClr val="FF0000"/>
            </a:solidFill>
            <a:ln>
              <a:noFill/>
            </a:ln>
            <a:effectLst/>
          </c:spPr>
          <c:invertIfNegative val="0"/>
          <c:cat>
            <c:strRef>
              <c:f>'Income Per Purchase'!$A$5:$A$7</c:f>
              <c:strCache>
                <c:ptCount val="2"/>
                <c:pt idx="0">
                  <c:v>Female</c:v>
                </c:pt>
                <c:pt idx="1">
                  <c:v>Male</c:v>
                </c:pt>
              </c:strCache>
            </c:strRef>
          </c:cat>
          <c:val>
            <c:numRef>
              <c:f>'Income Per Purchase'!$B$5:$B$7</c:f>
              <c:numCache>
                <c:formatCode>"₹"\ #,##0</c:formatCode>
                <c:ptCount val="2"/>
                <c:pt idx="0">
                  <c:v>53440</c:v>
                </c:pt>
                <c:pt idx="1">
                  <c:v>56208.178438661707</c:v>
                </c:pt>
              </c:numCache>
            </c:numRef>
          </c:val>
          <c:extLst>
            <c:ext xmlns:c16="http://schemas.microsoft.com/office/drawing/2014/chart" uri="{C3380CC4-5D6E-409C-BE32-E72D297353CC}">
              <c16:uniqueId val="{00000000-8C40-410C-932C-DCEBFC676803}"/>
            </c:ext>
          </c:extLst>
        </c:ser>
        <c:ser>
          <c:idx val="1"/>
          <c:order val="1"/>
          <c:tx>
            <c:strRef>
              <c:f>'Income Per Purchase'!$C$3:$C$4</c:f>
              <c:strCache>
                <c:ptCount val="1"/>
                <c:pt idx="0">
                  <c:v>Purchased</c:v>
                </c:pt>
              </c:strCache>
            </c:strRef>
          </c:tx>
          <c:spPr>
            <a:solidFill>
              <a:srgbClr val="92D050"/>
            </a:solidFill>
            <a:ln>
              <a:noFill/>
            </a:ln>
            <a:effectLst/>
          </c:spPr>
          <c:invertIfNegative val="0"/>
          <c:cat>
            <c:strRef>
              <c:f>'Income Per Purchase'!$A$5:$A$7</c:f>
              <c:strCache>
                <c:ptCount val="2"/>
                <c:pt idx="0">
                  <c:v>Female</c:v>
                </c:pt>
                <c:pt idx="1">
                  <c:v>Male</c:v>
                </c:pt>
              </c:strCache>
            </c:strRef>
          </c:cat>
          <c:val>
            <c:numRef>
              <c:f>'Income Per Purchase'!$C$5:$C$7</c:f>
              <c:numCache>
                <c:formatCode>"₹"\ #,##0</c:formatCode>
                <c:ptCount val="2"/>
                <c:pt idx="0">
                  <c:v>55774.058577405856</c:v>
                </c:pt>
                <c:pt idx="1">
                  <c:v>60123.966942148763</c:v>
                </c:pt>
              </c:numCache>
            </c:numRef>
          </c:val>
          <c:extLst>
            <c:ext xmlns:c16="http://schemas.microsoft.com/office/drawing/2014/chart" uri="{C3380CC4-5D6E-409C-BE32-E72D297353CC}">
              <c16:uniqueId val="{00000001-8C40-410C-932C-DCEBFC676803}"/>
            </c:ext>
          </c:extLst>
        </c:ser>
        <c:dLbls>
          <c:showLegendKey val="0"/>
          <c:showVal val="0"/>
          <c:showCatName val="0"/>
          <c:showSerName val="0"/>
          <c:showPercent val="0"/>
          <c:showBubbleSize val="0"/>
        </c:dLbls>
        <c:gapWidth val="219"/>
        <c:overlap val="-27"/>
        <c:axId val="831619952"/>
        <c:axId val="831613712"/>
      </c:barChart>
      <c:catAx>
        <c:axId val="8316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13712"/>
        <c:crosses val="autoZero"/>
        <c:auto val="1"/>
        <c:lblAlgn val="ctr"/>
        <c:lblOffset val="100"/>
        <c:noMultiLvlLbl val="0"/>
      </c:catAx>
      <c:valAx>
        <c:axId val="831613712"/>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6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accent1"/>
      </a:solid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Dataset.xlsx]Customer Commute!PivotTable1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Commute'!$B$3:$B$4</c:f>
              <c:strCache>
                <c:ptCount val="1"/>
                <c:pt idx="0">
                  <c:v>Not Purchased</c:v>
                </c:pt>
              </c:strCache>
            </c:strRef>
          </c:tx>
          <c:spPr>
            <a:ln w="28575" cap="rnd">
              <a:solidFill>
                <a:srgbClr val="FF0000"/>
              </a:solidFill>
              <a:round/>
            </a:ln>
            <a:effectLst/>
          </c:spPr>
          <c:marker>
            <c:symbol val="none"/>
          </c:marker>
          <c:cat>
            <c:strRef>
              <c:f>'Customer Commute'!$A$5:$A$10</c:f>
              <c:strCache>
                <c:ptCount val="5"/>
                <c:pt idx="0">
                  <c:v>0-1 Mile</c:v>
                </c:pt>
                <c:pt idx="1">
                  <c:v>1-2 Miles</c:v>
                </c:pt>
                <c:pt idx="2">
                  <c:v>2-5 Miles</c:v>
                </c:pt>
                <c:pt idx="3">
                  <c:v>5-10 Miles</c:v>
                </c:pt>
                <c:pt idx="4">
                  <c:v>More Than 10 Miles Miles</c:v>
                </c:pt>
              </c:strCache>
            </c:strRef>
          </c:cat>
          <c:val>
            <c:numRef>
              <c:f>'Customer Commute'!$B$5:$B$10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B0-46B7-B43A-2C28547CF2E3}"/>
            </c:ext>
          </c:extLst>
        </c:ser>
        <c:ser>
          <c:idx val="1"/>
          <c:order val="1"/>
          <c:tx>
            <c:strRef>
              <c:f>'Customer Commute'!$C$3:$C$4</c:f>
              <c:strCache>
                <c:ptCount val="1"/>
                <c:pt idx="0">
                  <c:v>Purchased</c:v>
                </c:pt>
              </c:strCache>
            </c:strRef>
          </c:tx>
          <c:spPr>
            <a:ln w="28575" cap="rnd">
              <a:solidFill>
                <a:srgbClr val="92D050"/>
              </a:solidFill>
              <a:round/>
            </a:ln>
            <a:effectLst/>
          </c:spPr>
          <c:marker>
            <c:symbol val="none"/>
          </c:marker>
          <c:cat>
            <c:strRef>
              <c:f>'Customer Commute'!$A$5:$A$10</c:f>
              <c:strCache>
                <c:ptCount val="5"/>
                <c:pt idx="0">
                  <c:v>0-1 Mile</c:v>
                </c:pt>
                <c:pt idx="1">
                  <c:v>1-2 Miles</c:v>
                </c:pt>
                <c:pt idx="2">
                  <c:v>2-5 Miles</c:v>
                </c:pt>
                <c:pt idx="3">
                  <c:v>5-10 Miles</c:v>
                </c:pt>
                <c:pt idx="4">
                  <c:v>More Than 10 Miles Miles</c:v>
                </c:pt>
              </c:strCache>
            </c:strRef>
          </c:cat>
          <c:val>
            <c:numRef>
              <c:f>'Customer Commute'!$C$5:$C$10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B0-46B7-B43A-2C28547CF2E3}"/>
            </c:ext>
          </c:extLst>
        </c:ser>
        <c:dLbls>
          <c:showLegendKey val="0"/>
          <c:showVal val="0"/>
          <c:showCatName val="0"/>
          <c:showSerName val="0"/>
          <c:showPercent val="0"/>
          <c:showBubbleSize val="0"/>
        </c:dLbls>
        <c:smooth val="0"/>
        <c:axId val="1163080640"/>
        <c:axId val="1163075360"/>
      </c:lineChart>
      <c:catAx>
        <c:axId val="116308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75360"/>
        <c:crosses val="autoZero"/>
        <c:auto val="1"/>
        <c:lblAlgn val="ctr"/>
        <c:lblOffset val="100"/>
        <c:noMultiLvlLbl val="0"/>
      </c:catAx>
      <c:valAx>
        <c:axId val="116307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08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accent1"/>
      </a:solidFill>
      <a:round/>
    </a:ln>
    <a:effectLst>
      <a:glow>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Dataset.xlsx]Age Per Purchase!PivotTable1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Per Purchase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chemeClr val="accent1"/>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92D050"/>
            </a:solidFill>
            <a:round/>
          </a:ln>
          <a:effectLst/>
        </c:spPr>
        <c:marker>
          <c:symbol val="circle"/>
          <c:size val="5"/>
          <c:spPr>
            <a:solidFill>
              <a:schemeClr val="accent2"/>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Per Purchase'!$B$3:$B$4</c:f>
              <c:strCache>
                <c:ptCount val="1"/>
                <c:pt idx="0">
                  <c:v>Not Purchased</c:v>
                </c:pt>
              </c:strCache>
            </c:strRef>
          </c:tx>
          <c:spPr>
            <a:ln w="28575" cap="rnd">
              <a:solidFill>
                <a:srgbClr val="FF0000"/>
              </a:solidFill>
              <a:round/>
            </a:ln>
            <a:effectLst/>
          </c:spPr>
          <c:marker>
            <c:symbol val="circle"/>
            <c:size val="5"/>
            <c:spPr>
              <a:solidFill>
                <a:schemeClr val="accent1"/>
              </a:solidFill>
              <a:ln w="9525">
                <a:solidFill>
                  <a:srgbClr val="FF0000"/>
                </a:solidFill>
              </a:ln>
              <a:effectLst/>
            </c:spPr>
          </c:marker>
          <c:cat>
            <c:strRef>
              <c:f>'Age Per Purchase'!$A$5:$A$8</c:f>
              <c:strCache>
                <c:ptCount val="3"/>
                <c:pt idx="0">
                  <c:v>Adolescent</c:v>
                </c:pt>
                <c:pt idx="1">
                  <c:v>Middle Aged</c:v>
                </c:pt>
                <c:pt idx="2">
                  <c:v>Old</c:v>
                </c:pt>
              </c:strCache>
            </c:strRef>
          </c:cat>
          <c:val>
            <c:numRef>
              <c:f>'Age Per Purchase'!$B$5:$B$8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0E0-468F-B90E-A88BBD7D8B92}"/>
            </c:ext>
          </c:extLst>
        </c:ser>
        <c:ser>
          <c:idx val="1"/>
          <c:order val="1"/>
          <c:tx>
            <c:strRef>
              <c:f>'Age Per Purchase'!$C$3:$C$4</c:f>
              <c:strCache>
                <c:ptCount val="1"/>
                <c:pt idx="0">
                  <c:v>Purchased</c:v>
                </c:pt>
              </c:strCache>
            </c:strRef>
          </c:tx>
          <c:spPr>
            <a:ln w="28575" cap="rnd">
              <a:solidFill>
                <a:srgbClr val="92D050"/>
              </a:solidFill>
              <a:round/>
            </a:ln>
            <a:effectLst/>
          </c:spPr>
          <c:marker>
            <c:symbol val="circle"/>
            <c:size val="5"/>
            <c:spPr>
              <a:solidFill>
                <a:schemeClr val="accent2"/>
              </a:solidFill>
              <a:ln w="9525">
                <a:solidFill>
                  <a:srgbClr val="92D050"/>
                </a:solidFill>
              </a:ln>
              <a:effectLst/>
            </c:spPr>
          </c:marker>
          <c:cat>
            <c:strRef>
              <c:f>'Age Per Purchase'!$A$5:$A$8</c:f>
              <c:strCache>
                <c:ptCount val="3"/>
                <c:pt idx="0">
                  <c:v>Adolescent</c:v>
                </c:pt>
                <c:pt idx="1">
                  <c:v>Middle Aged</c:v>
                </c:pt>
                <c:pt idx="2">
                  <c:v>Old</c:v>
                </c:pt>
              </c:strCache>
            </c:strRef>
          </c:cat>
          <c:val>
            <c:numRef>
              <c:f>'Age Per Purchase'!$C$5:$C$8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0E0-468F-B90E-A88BBD7D8B92}"/>
            </c:ext>
          </c:extLst>
        </c:ser>
        <c:dLbls>
          <c:showLegendKey val="0"/>
          <c:showVal val="0"/>
          <c:showCatName val="0"/>
          <c:showSerName val="0"/>
          <c:showPercent val="0"/>
          <c:showBubbleSize val="0"/>
        </c:dLbls>
        <c:marker val="1"/>
        <c:smooth val="0"/>
        <c:axId val="1165085072"/>
        <c:axId val="1165079792"/>
      </c:lineChart>
      <c:catAx>
        <c:axId val="116508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79792"/>
        <c:crosses val="autoZero"/>
        <c:auto val="1"/>
        <c:lblAlgn val="ctr"/>
        <c:lblOffset val="100"/>
        <c:noMultiLvlLbl val="0"/>
      </c:catAx>
      <c:valAx>
        <c:axId val="116507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8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accent1"/>
      </a:solidFill>
      <a:round/>
    </a:ln>
    <a:effectLst>
      <a:glow>
        <a:srgbClr val="00B0F0">
          <a:alpha val="41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289560</xdr:colOff>
      <xdr:row>4</xdr:row>
      <xdr:rowOff>38100</xdr:rowOff>
    </xdr:from>
    <xdr:to>
      <xdr:col>18</xdr:col>
      <xdr:colOff>586740</xdr:colOff>
      <xdr:row>14</xdr:row>
      <xdr:rowOff>121920</xdr:rowOff>
    </xdr:to>
    <xdr:graphicFrame macro="">
      <xdr:nvGraphicFramePr>
        <xdr:cNvPr id="2" name="Chart 1">
          <a:extLst>
            <a:ext uri="{FF2B5EF4-FFF2-40B4-BE49-F238E27FC236}">
              <a16:creationId xmlns:a16="http://schemas.microsoft.com/office/drawing/2014/main" id="{AE9FF244-82FA-492B-8DED-E7CA30CFE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14</xdr:row>
      <xdr:rowOff>167640</xdr:rowOff>
    </xdr:from>
    <xdr:to>
      <xdr:col>18</xdr:col>
      <xdr:colOff>586740</xdr:colOff>
      <xdr:row>30</xdr:row>
      <xdr:rowOff>30480</xdr:rowOff>
    </xdr:to>
    <xdr:graphicFrame macro="">
      <xdr:nvGraphicFramePr>
        <xdr:cNvPr id="3" name="Chart 2">
          <a:extLst>
            <a:ext uri="{FF2B5EF4-FFF2-40B4-BE49-F238E27FC236}">
              <a16:creationId xmlns:a16="http://schemas.microsoft.com/office/drawing/2014/main" id="{E5480CE0-3DE9-41E1-BDCB-71DC55B6B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4</xdr:row>
      <xdr:rowOff>38100</xdr:rowOff>
    </xdr:from>
    <xdr:to>
      <xdr:col>11</xdr:col>
      <xdr:colOff>220980</xdr:colOff>
      <xdr:row>14</xdr:row>
      <xdr:rowOff>121920</xdr:rowOff>
    </xdr:to>
    <xdr:graphicFrame macro="">
      <xdr:nvGraphicFramePr>
        <xdr:cNvPr id="4" name="Chart 3">
          <a:extLst>
            <a:ext uri="{FF2B5EF4-FFF2-40B4-BE49-F238E27FC236}">
              <a16:creationId xmlns:a16="http://schemas.microsoft.com/office/drawing/2014/main" id="{8D54FACC-3795-4CEC-A887-2158FFDD5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19</xdr:col>
      <xdr:colOff>0</xdr:colOff>
      <xdr:row>4</xdr:row>
      <xdr:rowOff>0</xdr:rowOff>
    </xdr:to>
    <xdr:sp macro="" textlink="">
      <xdr:nvSpPr>
        <xdr:cNvPr id="5" name="Rectangle 4">
          <a:extLst>
            <a:ext uri="{FF2B5EF4-FFF2-40B4-BE49-F238E27FC236}">
              <a16:creationId xmlns:a16="http://schemas.microsoft.com/office/drawing/2014/main" id="{F7B81366-FDA6-F24B-B847-08FBE89CCE2E}"/>
            </a:ext>
          </a:extLst>
        </xdr:cNvPr>
        <xdr:cNvSpPr/>
      </xdr:nvSpPr>
      <xdr:spPr>
        <a:xfrm>
          <a:off x="0" y="0"/>
          <a:ext cx="11582400" cy="731520"/>
        </a:xfrm>
        <a:prstGeom prst="rect">
          <a:avLst/>
        </a:prstGeom>
        <a:solidFill>
          <a:srgbClr val="33993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t>Bike Sale Dashboard</a:t>
          </a:r>
          <a:endParaRPr lang="en-IN" sz="1100"/>
        </a:p>
      </xdr:txBody>
    </xdr:sp>
    <xdr:clientData/>
  </xdr:twoCellAnchor>
  <xdr:twoCellAnchor editAs="oneCell">
    <xdr:from>
      <xdr:col>0</xdr:col>
      <xdr:colOff>7620</xdr:colOff>
      <xdr:row>25</xdr:row>
      <xdr:rowOff>91441</xdr:rowOff>
    </xdr:from>
    <xdr:to>
      <xdr:col>3</xdr:col>
      <xdr:colOff>472440</xdr:colOff>
      <xdr:row>30</xdr:row>
      <xdr:rowOff>38101</xdr:rowOff>
    </xdr:to>
    <mc:AlternateContent xmlns:mc="http://schemas.openxmlformats.org/markup-compatibility/2006" xmlns:a14="http://schemas.microsoft.com/office/drawing/2010/main">
      <mc:Choice Requires="a14">
        <xdr:graphicFrame macro="">
          <xdr:nvGraphicFramePr>
            <xdr:cNvPr id="6" name="Marital Status ">
              <a:extLst>
                <a:ext uri="{FF2B5EF4-FFF2-40B4-BE49-F238E27FC236}">
                  <a16:creationId xmlns:a16="http://schemas.microsoft.com/office/drawing/2014/main" id="{3D097BF2-24AD-8C6F-58AC-B4DC39D53009}"/>
                </a:ext>
              </a:extLst>
            </xdr:cNvPr>
            <xdr:cNvGraphicFramePr/>
          </xdr:nvGraphicFramePr>
          <xdr:xfrm>
            <a:off x="0" y="0"/>
            <a:ext cx="0" cy="0"/>
          </xdr:xfrm>
          <a:graphic>
            <a:graphicData uri="http://schemas.microsoft.com/office/drawing/2010/slicer">
              <sle:slicer xmlns:sle="http://schemas.microsoft.com/office/drawing/2010/slicer" name="Marital Status "/>
            </a:graphicData>
          </a:graphic>
        </xdr:graphicFrame>
      </mc:Choice>
      <mc:Fallback xmlns="">
        <xdr:sp macro="" textlink="">
          <xdr:nvSpPr>
            <xdr:cNvPr id="0" name=""/>
            <xdr:cNvSpPr>
              <a:spLocks noTextEdit="1"/>
            </xdr:cNvSpPr>
          </xdr:nvSpPr>
          <xdr:spPr>
            <a:xfrm>
              <a:off x="7620" y="4663441"/>
              <a:ext cx="229362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22861</xdr:rowOff>
    </xdr:from>
    <xdr:to>
      <xdr:col>3</xdr:col>
      <xdr:colOff>464820</xdr:colOff>
      <xdr:row>25</xdr:row>
      <xdr:rowOff>45720</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28272538-0C8E-E8CC-6194-80273D4242C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948941"/>
              <a:ext cx="2293620" cy="1668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160021</xdr:rowOff>
    </xdr:from>
    <xdr:to>
      <xdr:col>3</xdr:col>
      <xdr:colOff>449580</xdr:colOff>
      <xdr:row>15</xdr:row>
      <xdr:rowOff>137160</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DB75AD94-EC9D-FF9E-D175-C83A2A8F60BD}"/>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1988821"/>
              <a:ext cx="227838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45721</xdr:rowOff>
    </xdr:from>
    <xdr:to>
      <xdr:col>3</xdr:col>
      <xdr:colOff>441960</xdr:colOff>
      <xdr:row>10</xdr:row>
      <xdr:rowOff>121920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FDD89DA-9220-FF8D-780F-E64D0FD8CD6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77241"/>
              <a:ext cx="227076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ur rahman" refreshedDate="45692.358663194442" createdVersion="8" refreshedVersion="8" minRefreshableVersion="3" recordCount="1000" xr:uid="{ECE3DDAA-B168-4CCD-B750-42C32BDAD6BD}">
  <cacheSource type="worksheet">
    <worksheetSource name="BikePurchase"/>
  </cacheSource>
  <cacheFields count="17">
    <cacheField name="ID" numFmtId="0">
      <sharedItems containsSemiMixedTypes="0" containsString="0" containsNumber="1" containsInteger="1" minValue="11000" maxValue="29447"/>
    </cacheField>
    <cacheField name="Marital Status X" numFmtId="0">
      <sharedItems/>
    </cacheField>
    <cacheField name="Marital Status " numFmtId="0">
      <sharedItems count="2">
        <s v="Married"/>
        <s v="Single"/>
      </sharedItems>
    </cacheField>
    <cacheField name="GenderX" numFmtId="0">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
        <s v="2-5 Miles"/>
        <s v="5-10 Miles"/>
        <s v="1-2 Miles"/>
        <s v="More Than 10 Miles Miles"/>
        <s v="10+ Miles" u="1"/>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Group" numFmtId="0">
      <sharedItems count="3">
        <s v="Middle Aged"/>
        <s v="Old"/>
        <s v="Adolescent"/>
      </sharedItems>
    </cacheField>
    <cacheField name="Purchased BikeX" numFmtId="0">
      <sharedItems/>
    </cacheField>
    <cacheField name="Purchased Bike " numFmtId="0">
      <sharedItems count="2">
        <s v="Not Purchased"/>
        <s v="Purchased"/>
      </sharedItems>
    </cacheField>
  </cacheFields>
  <extLst>
    <ext xmlns:x14="http://schemas.microsoft.com/office/spreadsheetml/2009/9/main" uri="{725AE2AE-9491-48be-B2B4-4EB974FC3084}">
      <x14:pivotCacheDefinition pivotCacheId="1197442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
    <x v="0"/>
    <s v="F"/>
    <x v="0"/>
    <n v="40000"/>
    <n v="1"/>
    <x v="0"/>
    <s v="Skilled Manual"/>
    <x v="0"/>
    <n v="0"/>
    <x v="0"/>
    <x v="0"/>
    <n v="42"/>
    <x v="0"/>
    <s v="No"/>
    <x v="0"/>
  </r>
  <r>
    <n v="24107"/>
    <s v="M"/>
    <x v="0"/>
    <s v="M"/>
    <x v="1"/>
    <n v="30000"/>
    <n v="3"/>
    <x v="1"/>
    <s v="Clerical"/>
    <x v="0"/>
    <n v="1"/>
    <x v="0"/>
    <x v="0"/>
    <n v="43"/>
    <x v="0"/>
    <s v="No"/>
    <x v="0"/>
  </r>
  <r>
    <n v="14177"/>
    <s v="M"/>
    <x v="0"/>
    <s v="M"/>
    <x v="1"/>
    <n v="80000"/>
    <n v="5"/>
    <x v="1"/>
    <s v="Professional"/>
    <x v="1"/>
    <n v="2"/>
    <x v="1"/>
    <x v="0"/>
    <n v="60"/>
    <x v="1"/>
    <s v="No"/>
    <x v="0"/>
  </r>
  <r>
    <n v="24381"/>
    <s v="S"/>
    <x v="1"/>
    <s v="M"/>
    <x v="1"/>
    <n v="70000"/>
    <n v="0"/>
    <x v="0"/>
    <s v="Professional"/>
    <x v="0"/>
    <n v="1"/>
    <x v="2"/>
    <x v="1"/>
    <n v="41"/>
    <x v="0"/>
    <s v="Yes"/>
    <x v="1"/>
  </r>
  <r>
    <n v="25597"/>
    <s v="S"/>
    <x v="1"/>
    <s v="M"/>
    <x v="1"/>
    <n v="30000"/>
    <n v="0"/>
    <x v="0"/>
    <s v="Clerical"/>
    <x v="1"/>
    <n v="0"/>
    <x v="0"/>
    <x v="0"/>
    <n v="36"/>
    <x v="0"/>
    <s v="Yes"/>
    <x v="1"/>
  </r>
  <r>
    <n v="13507"/>
    <s v="M"/>
    <x v="0"/>
    <s v="F"/>
    <x v="0"/>
    <n v="10000"/>
    <n v="2"/>
    <x v="1"/>
    <s v="Manual"/>
    <x v="0"/>
    <n v="0"/>
    <x v="3"/>
    <x v="0"/>
    <n v="50"/>
    <x v="0"/>
    <s v="No"/>
    <x v="0"/>
  </r>
  <r>
    <n v="27974"/>
    <s v="S"/>
    <x v="1"/>
    <s v="M"/>
    <x v="1"/>
    <n v="160000"/>
    <n v="2"/>
    <x v="2"/>
    <s v="Management"/>
    <x v="0"/>
    <n v="4"/>
    <x v="0"/>
    <x v="1"/>
    <n v="33"/>
    <x v="0"/>
    <s v="Yes"/>
    <x v="1"/>
  </r>
  <r>
    <n v="19364"/>
    <s v="M"/>
    <x v="0"/>
    <s v="M"/>
    <x v="1"/>
    <n v="40000"/>
    <n v="1"/>
    <x v="0"/>
    <s v="Skilled Manual"/>
    <x v="0"/>
    <n v="0"/>
    <x v="0"/>
    <x v="0"/>
    <n v="43"/>
    <x v="0"/>
    <s v="Yes"/>
    <x v="1"/>
  </r>
  <r>
    <n v="22155"/>
    <s v="M"/>
    <x v="0"/>
    <s v="M"/>
    <x v="1"/>
    <n v="20000"/>
    <n v="2"/>
    <x v="3"/>
    <s v="Clerical"/>
    <x v="0"/>
    <n v="2"/>
    <x v="2"/>
    <x v="1"/>
    <n v="58"/>
    <x v="1"/>
    <s v="No"/>
    <x v="0"/>
  </r>
  <r>
    <n v="19280"/>
    <s v="M"/>
    <x v="0"/>
    <s v="M"/>
    <x v="1"/>
    <n v="120000"/>
    <n v="2"/>
    <x v="1"/>
    <s v="Manual"/>
    <x v="0"/>
    <n v="1"/>
    <x v="0"/>
    <x v="0"/>
    <n v="40"/>
    <x v="0"/>
    <s v="Yes"/>
    <x v="1"/>
  </r>
  <r>
    <n v="22173"/>
    <s v="M"/>
    <x v="0"/>
    <s v="F"/>
    <x v="0"/>
    <n v="30000"/>
    <n v="3"/>
    <x v="2"/>
    <s v="Skilled Manual"/>
    <x v="1"/>
    <n v="2"/>
    <x v="3"/>
    <x v="1"/>
    <n v="54"/>
    <x v="0"/>
    <s v="Yes"/>
    <x v="1"/>
  </r>
  <r>
    <n v="12697"/>
    <s v="S"/>
    <x v="1"/>
    <s v="F"/>
    <x v="0"/>
    <n v="90000"/>
    <n v="0"/>
    <x v="0"/>
    <s v="Professional"/>
    <x v="1"/>
    <n v="4"/>
    <x v="4"/>
    <x v="1"/>
    <n v="36"/>
    <x v="0"/>
    <s v="No"/>
    <x v="0"/>
  </r>
  <r>
    <n v="11434"/>
    <s v="M"/>
    <x v="0"/>
    <s v="M"/>
    <x v="1"/>
    <n v="170000"/>
    <n v="5"/>
    <x v="1"/>
    <s v="Professional"/>
    <x v="0"/>
    <n v="0"/>
    <x v="0"/>
    <x v="0"/>
    <n v="55"/>
    <x v="1"/>
    <s v="No"/>
    <x v="0"/>
  </r>
  <r>
    <n v="25323"/>
    <s v="M"/>
    <x v="0"/>
    <s v="M"/>
    <x v="1"/>
    <n v="40000"/>
    <n v="2"/>
    <x v="1"/>
    <s v="Clerical"/>
    <x v="0"/>
    <n v="1"/>
    <x v="3"/>
    <x v="0"/>
    <n v="35"/>
    <x v="0"/>
    <s v="Yes"/>
    <x v="1"/>
  </r>
  <r>
    <n v="23542"/>
    <s v="S"/>
    <x v="1"/>
    <s v="M"/>
    <x v="1"/>
    <n v="60000"/>
    <n v="1"/>
    <x v="1"/>
    <s v="Skilled Manual"/>
    <x v="1"/>
    <n v="1"/>
    <x v="0"/>
    <x v="1"/>
    <n v="45"/>
    <x v="0"/>
    <s v="Yes"/>
    <x v="1"/>
  </r>
  <r>
    <n v="20870"/>
    <s v="S"/>
    <x v="1"/>
    <s v="F"/>
    <x v="0"/>
    <n v="10000"/>
    <n v="2"/>
    <x v="2"/>
    <s v="Manual"/>
    <x v="0"/>
    <n v="1"/>
    <x v="0"/>
    <x v="0"/>
    <n v="38"/>
    <x v="0"/>
    <s v="Yes"/>
    <x v="1"/>
  </r>
  <r>
    <n v="23316"/>
    <s v="S"/>
    <x v="1"/>
    <s v="M"/>
    <x v="1"/>
    <n v="30000"/>
    <n v="3"/>
    <x v="1"/>
    <s v="Clerical"/>
    <x v="1"/>
    <n v="2"/>
    <x v="3"/>
    <x v="1"/>
    <n v="59"/>
    <x v="1"/>
    <s v="Yes"/>
    <x v="1"/>
  </r>
  <r>
    <n v="12610"/>
    <s v="M"/>
    <x v="0"/>
    <s v="F"/>
    <x v="0"/>
    <n v="30000"/>
    <n v="1"/>
    <x v="0"/>
    <s v="Clerical"/>
    <x v="0"/>
    <n v="0"/>
    <x v="0"/>
    <x v="0"/>
    <n v="47"/>
    <x v="0"/>
    <s v="No"/>
    <x v="0"/>
  </r>
  <r>
    <n v="27183"/>
    <s v="S"/>
    <x v="1"/>
    <s v="M"/>
    <x v="1"/>
    <n v="40000"/>
    <n v="2"/>
    <x v="1"/>
    <s v="Clerical"/>
    <x v="0"/>
    <n v="1"/>
    <x v="3"/>
    <x v="0"/>
    <n v="35"/>
    <x v="0"/>
    <s v="Yes"/>
    <x v="1"/>
  </r>
  <r>
    <n v="25940"/>
    <s v="S"/>
    <x v="1"/>
    <s v="M"/>
    <x v="1"/>
    <n v="20000"/>
    <n v="2"/>
    <x v="3"/>
    <s v="Clerical"/>
    <x v="0"/>
    <n v="2"/>
    <x v="2"/>
    <x v="1"/>
    <n v="55"/>
    <x v="1"/>
    <s v="Yes"/>
    <x v="1"/>
  </r>
  <r>
    <n v="25598"/>
    <s v="M"/>
    <x v="0"/>
    <s v="F"/>
    <x v="0"/>
    <n v="40000"/>
    <n v="0"/>
    <x v="4"/>
    <s v="Clerical"/>
    <x v="0"/>
    <n v="0"/>
    <x v="0"/>
    <x v="0"/>
    <n v="36"/>
    <x v="0"/>
    <s v="Yes"/>
    <x v="1"/>
  </r>
  <r>
    <n v="21564"/>
    <s v="S"/>
    <x v="1"/>
    <s v="F"/>
    <x v="0"/>
    <n v="80000"/>
    <n v="0"/>
    <x v="0"/>
    <s v="Professional"/>
    <x v="0"/>
    <n v="4"/>
    <x v="4"/>
    <x v="1"/>
    <n v="35"/>
    <x v="0"/>
    <s v="No"/>
    <x v="0"/>
  </r>
  <r>
    <n v="19193"/>
    <s v="S"/>
    <x v="1"/>
    <s v="M"/>
    <x v="1"/>
    <n v="40000"/>
    <n v="2"/>
    <x v="1"/>
    <s v="Clerical"/>
    <x v="0"/>
    <n v="0"/>
    <x v="3"/>
    <x v="0"/>
    <n v="35"/>
    <x v="0"/>
    <s v="Yes"/>
    <x v="1"/>
  </r>
  <r>
    <n v="26412"/>
    <s v="M"/>
    <x v="0"/>
    <s v="F"/>
    <x v="0"/>
    <n v="80000"/>
    <n v="5"/>
    <x v="2"/>
    <s v="Management"/>
    <x v="1"/>
    <n v="3"/>
    <x v="2"/>
    <x v="0"/>
    <n v="56"/>
    <x v="1"/>
    <s v="No"/>
    <x v="0"/>
  </r>
  <r>
    <n v="27184"/>
    <s v="S"/>
    <x v="1"/>
    <s v="M"/>
    <x v="1"/>
    <n v="40000"/>
    <n v="2"/>
    <x v="1"/>
    <s v="Clerical"/>
    <x v="1"/>
    <n v="1"/>
    <x v="0"/>
    <x v="0"/>
    <n v="34"/>
    <x v="0"/>
    <s v="No"/>
    <x v="0"/>
  </r>
  <r>
    <n v="12590"/>
    <s v="S"/>
    <x v="1"/>
    <s v="M"/>
    <x v="1"/>
    <n v="30000"/>
    <n v="1"/>
    <x v="0"/>
    <s v="Clerical"/>
    <x v="0"/>
    <n v="0"/>
    <x v="0"/>
    <x v="0"/>
    <n v="63"/>
    <x v="1"/>
    <s v="No"/>
    <x v="0"/>
  </r>
  <r>
    <n v="17841"/>
    <s v="S"/>
    <x v="1"/>
    <s v="M"/>
    <x v="1"/>
    <n v="30000"/>
    <n v="0"/>
    <x v="1"/>
    <s v="Clerical"/>
    <x v="1"/>
    <n v="1"/>
    <x v="0"/>
    <x v="0"/>
    <n v="29"/>
    <x v="2"/>
    <s v="Yes"/>
    <x v="1"/>
  </r>
  <r>
    <n v="18283"/>
    <s v="S"/>
    <x v="1"/>
    <s v="F"/>
    <x v="0"/>
    <n v="100000"/>
    <n v="0"/>
    <x v="0"/>
    <s v="Professional"/>
    <x v="1"/>
    <n v="1"/>
    <x v="2"/>
    <x v="1"/>
    <n v="40"/>
    <x v="0"/>
    <s v="No"/>
    <x v="0"/>
  </r>
  <r>
    <n v="18299"/>
    <s v="M"/>
    <x v="0"/>
    <s v="M"/>
    <x v="1"/>
    <n v="70000"/>
    <n v="5"/>
    <x v="1"/>
    <s v="Skilled Manual"/>
    <x v="0"/>
    <n v="2"/>
    <x v="2"/>
    <x v="1"/>
    <n v="44"/>
    <x v="0"/>
    <s v="No"/>
    <x v="0"/>
  </r>
  <r>
    <n v="16466"/>
    <s v="S"/>
    <x v="1"/>
    <s v="F"/>
    <x v="0"/>
    <n v="20000"/>
    <n v="0"/>
    <x v="3"/>
    <s v="Manual"/>
    <x v="1"/>
    <n v="2"/>
    <x v="0"/>
    <x v="0"/>
    <n v="32"/>
    <x v="0"/>
    <s v="Yes"/>
    <x v="1"/>
  </r>
  <r>
    <n v="19273"/>
    <s v="M"/>
    <x v="0"/>
    <s v="F"/>
    <x v="0"/>
    <n v="20000"/>
    <n v="2"/>
    <x v="1"/>
    <s v="Manual"/>
    <x v="0"/>
    <n v="0"/>
    <x v="0"/>
    <x v="0"/>
    <n v="63"/>
    <x v="1"/>
    <s v="No"/>
    <x v="0"/>
  </r>
  <r>
    <n v="22400"/>
    <s v="M"/>
    <x v="0"/>
    <s v="M"/>
    <x v="1"/>
    <n v="10000"/>
    <n v="0"/>
    <x v="1"/>
    <s v="Manual"/>
    <x v="1"/>
    <n v="1"/>
    <x v="0"/>
    <x v="1"/>
    <n v="26"/>
    <x v="2"/>
    <s v="Yes"/>
    <x v="1"/>
  </r>
  <r>
    <n v="20942"/>
    <s v="S"/>
    <x v="1"/>
    <s v="F"/>
    <x v="0"/>
    <n v="20000"/>
    <n v="0"/>
    <x v="2"/>
    <s v="Manual"/>
    <x v="1"/>
    <n v="1"/>
    <x v="2"/>
    <x v="0"/>
    <n v="31"/>
    <x v="0"/>
    <s v="No"/>
    <x v="0"/>
  </r>
  <r>
    <n v="18484"/>
    <s v="S"/>
    <x v="1"/>
    <s v="M"/>
    <x v="1"/>
    <n v="80000"/>
    <n v="2"/>
    <x v="2"/>
    <s v="Skilled Manual"/>
    <x v="1"/>
    <n v="2"/>
    <x v="3"/>
    <x v="1"/>
    <n v="50"/>
    <x v="0"/>
    <s v="Yes"/>
    <x v="1"/>
  </r>
  <r>
    <n v="12291"/>
    <s v="S"/>
    <x v="1"/>
    <s v="M"/>
    <x v="1"/>
    <n v="90000"/>
    <n v="5"/>
    <x v="1"/>
    <s v="Professional"/>
    <x v="1"/>
    <n v="2"/>
    <x v="1"/>
    <x v="0"/>
    <n v="62"/>
    <x v="1"/>
    <s v="Yes"/>
    <x v="1"/>
  </r>
  <r>
    <n v="28380"/>
    <s v="S"/>
    <x v="1"/>
    <s v="F"/>
    <x v="0"/>
    <n v="10000"/>
    <n v="5"/>
    <x v="3"/>
    <s v="Manual"/>
    <x v="1"/>
    <n v="2"/>
    <x v="0"/>
    <x v="0"/>
    <n v="41"/>
    <x v="0"/>
    <s v="No"/>
    <x v="0"/>
  </r>
  <r>
    <n v="17891"/>
    <s v="M"/>
    <x v="0"/>
    <s v="F"/>
    <x v="0"/>
    <n v="10000"/>
    <n v="2"/>
    <x v="1"/>
    <s v="Manual"/>
    <x v="0"/>
    <n v="1"/>
    <x v="0"/>
    <x v="0"/>
    <n v="50"/>
    <x v="0"/>
    <s v="Yes"/>
    <x v="1"/>
  </r>
  <r>
    <n v="27832"/>
    <s v="S"/>
    <x v="1"/>
    <s v="F"/>
    <x v="0"/>
    <n v="30000"/>
    <n v="0"/>
    <x v="1"/>
    <s v="Clerical"/>
    <x v="1"/>
    <n v="1"/>
    <x v="1"/>
    <x v="0"/>
    <n v="30"/>
    <x v="2"/>
    <s v="No"/>
    <x v="0"/>
  </r>
  <r>
    <n v="26863"/>
    <s v="S"/>
    <x v="1"/>
    <s v="M"/>
    <x v="1"/>
    <n v="20000"/>
    <n v="0"/>
    <x v="2"/>
    <s v="Manual"/>
    <x v="1"/>
    <n v="1"/>
    <x v="1"/>
    <x v="0"/>
    <n v="28"/>
    <x v="2"/>
    <s v="No"/>
    <x v="0"/>
  </r>
  <r>
    <n v="16259"/>
    <s v="S"/>
    <x v="1"/>
    <s v="F"/>
    <x v="0"/>
    <n v="10000"/>
    <n v="4"/>
    <x v="3"/>
    <s v="Manual"/>
    <x v="0"/>
    <n v="2"/>
    <x v="0"/>
    <x v="0"/>
    <n v="40"/>
    <x v="0"/>
    <s v="Yes"/>
    <x v="1"/>
  </r>
  <r>
    <n v="27803"/>
    <s v="S"/>
    <x v="1"/>
    <s v="F"/>
    <x v="0"/>
    <n v="30000"/>
    <n v="2"/>
    <x v="1"/>
    <s v="Clerical"/>
    <x v="1"/>
    <n v="0"/>
    <x v="0"/>
    <x v="0"/>
    <n v="43"/>
    <x v="0"/>
    <s v="No"/>
    <x v="0"/>
  </r>
  <r>
    <n v="14347"/>
    <s v="S"/>
    <x v="1"/>
    <s v="F"/>
    <x v="0"/>
    <n v="40000"/>
    <n v="2"/>
    <x v="0"/>
    <s v="Management"/>
    <x v="0"/>
    <n v="2"/>
    <x v="2"/>
    <x v="1"/>
    <n v="65"/>
    <x v="1"/>
    <s v="Yes"/>
    <x v="1"/>
  </r>
  <r>
    <n v="17703"/>
    <s v="M"/>
    <x v="0"/>
    <s v="F"/>
    <x v="0"/>
    <n v="10000"/>
    <n v="1"/>
    <x v="4"/>
    <s v="Manual"/>
    <x v="0"/>
    <n v="0"/>
    <x v="0"/>
    <x v="0"/>
    <n v="40"/>
    <x v="0"/>
    <s v="No"/>
    <x v="0"/>
  </r>
  <r>
    <n v="17185"/>
    <s v="M"/>
    <x v="0"/>
    <s v="F"/>
    <x v="0"/>
    <n v="170000"/>
    <n v="4"/>
    <x v="1"/>
    <s v="Professional"/>
    <x v="1"/>
    <n v="3"/>
    <x v="2"/>
    <x v="0"/>
    <n v="48"/>
    <x v="0"/>
    <s v="Yes"/>
    <x v="1"/>
  </r>
  <r>
    <n v="29380"/>
    <s v="M"/>
    <x v="0"/>
    <s v="F"/>
    <x v="0"/>
    <n v="20000"/>
    <n v="3"/>
    <x v="2"/>
    <s v="Manual"/>
    <x v="0"/>
    <n v="0"/>
    <x v="0"/>
    <x v="0"/>
    <n v="41"/>
    <x v="0"/>
    <s v="Yes"/>
    <x v="1"/>
  </r>
  <r>
    <n v="23986"/>
    <s v="M"/>
    <x v="0"/>
    <s v="F"/>
    <x v="0"/>
    <n v="20000"/>
    <n v="1"/>
    <x v="0"/>
    <s v="Clerical"/>
    <x v="0"/>
    <n v="0"/>
    <x v="0"/>
    <x v="0"/>
    <n v="66"/>
    <x v="1"/>
    <s v="Yes"/>
    <x v="1"/>
  </r>
  <r>
    <n v="24466"/>
    <s v="M"/>
    <x v="0"/>
    <s v="F"/>
    <x v="0"/>
    <n v="60000"/>
    <n v="1"/>
    <x v="1"/>
    <s v="Skilled Manual"/>
    <x v="0"/>
    <n v="1"/>
    <x v="2"/>
    <x v="1"/>
    <n v="46"/>
    <x v="0"/>
    <s v="Yes"/>
    <x v="1"/>
  </r>
  <r>
    <n v="29097"/>
    <s v="S"/>
    <x v="1"/>
    <s v="F"/>
    <x v="0"/>
    <n v="40000"/>
    <n v="2"/>
    <x v="1"/>
    <s v="Skilled Manual"/>
    <x v="0"/>
    <n v="2"/>
    <x v="2"/>
    <x v="1"/>
    <n v="52"/>
    <x v="0"/>
    <s v="Yes"/>
    <x v="1"/>
  </r>
  <r>
    <n v="19487"/>
    <s v="M"/>
    <x v="0"/>
    <s v="M"/>
    <x v="1"/>
    <n v="30000"/>
    <n v="2"/>
    <x v="1"/>
    <s v="Clerical"/>
    <x v="1"/>
    <n v="2"/>
    <x v="0"/>
    <x v="0"/>
    <n v="42"/>
    <x v="0"/>
    <s v="No"/>
    <x v="0"/>
  </r>
  <r>
    <n v="14939"/>
    <s v="S"/>
    <x v="1"/>
    <s v="M"/>
    <x v="1"/>
    <n v="40000"/>
    <n v="0"/>
    <x v="0"/>
    <s v="Clerical"/>
    <x v="0"/>
    <n v="0"/>
    <x v="0"/>
    <x v="0"/>
    <n v="39"/>
    <x v="0"/>
    <s v="Yes"/>
    <x v="1"/>
  </r>
  <r>
    <n v="13826"/>
    <s v="S"/>
    <x v="1"/>
    <s v="F"/>
    <x v="0"/>
    <n v="30000"/>
    <n v="0"/>
    <x v="1"/>
    <s v="Clerical"/>
    <x v="1"/>
    <n v="1"/>
    <x v="0"/>
    <x v="0"/>
    <n v="28"/>
    <x v="2"/>
    <s v="No"/>
    <x v="0"/>
  </r>
  <r>
    <n v="20619"/>
    <s v="S"/>
    <x v="1"/>
    <s v="M"/>
    <x v="1"/>
    <n v="80000"/>
    <n v="0"/>
    <x v="0"/>
    <s v="Professional"/>
    <x v="1"/>
    <n v="4"/>
    <x v="4"/>
    <x v="1"/>
    <n v="35"/>
    <x v="0"/>
    <s v="No"/>
    <x v="0"/>
  </r>
  <r>
    <n v="12558"/>
    <s v="M"/>
    <x v="0"/>
    <s v="F"/>
    <x v="0"/>
    <n v="20000"/>
    <n v="1"/>
    <x v="0"/>
    <s v="Clerical"/>
    <x v="0"/>
    <n v="0"/>
    <x v="0"/>
    <x v="0"/>
    <n v="65"/>
    <x v="1"/>
    <s v="No"/>
    <x v="0"/>
  </r>
  <r>
    <n v="24871"/>
    <s v="S"/>
    <x v="1"/>
    <s v="F"/>
    <x v="0"/>
    <n v="90000"/>
    <n v="4"/>
    <x v="2"/>
    <s v="Management"/>
    <x v="1"/>
    <n v="3"/>
    <x v="2"/>
    <x v="0"/>
    <n v="56"/>
    <x v="1"/>
    <s v="No"/>
    <x v="0"/>
  </r>
  <r>
    <n v="17319"/>
    <s v="S"/>
    <x v="1"/>
    <s v="F"/>
    <x v="0"/>
    <n v="70000"/>
    <n v="0"/>
    <x v="0"/>
    <s v="Professional"/>
    <x v="1"/>
    <n v="1"/>
    <x v="2"/>
    <x v="1"/>
    <n v="42"/>
    <x v="0"/>
    <s v="No"/>
    <x v="0"/>
  </r>
  <r>
    <n v="28906"/>
    <s v="M"/>
    <x v="0"/>
    <s v="M"/>
    <x v="1"/>
    <n v="80000"/>
    <n v="4"/>
    <x v="2"/>
    <s v="Professional"/>
    <x v="0"/>
    <n v="2"/>
    <x v="4"/>
    <x v="0"/>
    <n v="54"/>
    <x v="0"/>
    <s v="No"/>
    <x v="0"/>
  </r>
  <r>
    <n v="12808"/>
    <s v="M"/>
    <x v="0"/>
    <s v="M"/>
    <x v="1"/>
    <n v="40000"/>
    <n v="0"/>
    <x v="0"/>
    <s v="Clerical"/>
    <x v="0"/>
    <n v="0"/>
    <x v="0"/>
    <x v="0"/>
    <n v="38"/>
    <x v="0"/>
    <s v="Yes"/>
    <x v="1"/>
  </r>
  <r>
    <n v="20567"/>
    <s v="M"/>
    <x v="0"/>
    <s v="M"/>
    <x v="1"/>
    <n v="130000"/>
    <n v="4"/>
    <x v="1"/>
    <s v="Professional"/>
    <x v="1"/>
    <n v="4"/>
    <x v="2"/>
    <x v="0"/>
    <n v="61"/>
    <x v="1"/>
    <s v="Yes"/>
    <x v="1"/>
  </r>
  <r>
    <n v="25502"/>
    <s v="M"/>
    <x v="0"/>
    <s v="F"/>
    <x v="0"/>
    <n v="40000"/>
    <n v="1"/>
    <x v="0"/>
    <s v="Skilled Manual"/>
    <x v="0"/>
    <n v="0"/>
    <x v="0"/>
    <x v="0"/>
    <n v="43"/>
    <x v="0"/>
    <s v="Yes"/>
    <x v="1"/>
  </r>
  <r>
    <n v="15580"/>
    <s v="M"/>
    <x v="0"/>
    <s v="M"/>
    <x v="1"/>
    <n v="60000"/>
    <n v="2"/>
    <x v="0"/>
    <s v="Professional"/>
    <x v="0"/>
    <n v="1"/>
    <x v="1"/>
    <x v="1"/>
    <n v="38"/>
    <x v="0"/>
    <s v="Yes"/>
    <x v="1"/>
  </r>
  <r>
    <n v="24185"/>
    <s v="S"/>
    <x v="1"/>
    <s v="F"/>
    <x v="0"/>
    <n v="10000"/>
    <n v="1"/>
    <x v="2"/>
    <s v="Manual"/>
    <x v="1"/>
    <n v="1"/>
    <x v="3"/>
    <x v="0"/>
    <n v="45"/>
    <x v="0"/>
    <s v="No"/>
    <x v="0"/>
  </r>
  <r>
    <n v="19291"/>
    <s v="S"/>
    <x v="1"/>
    <s v="F"/>
    <x v="0"/>
    <n v="10000"/>
    <n v="2"/>
    <x v="2"/>
    <s v="Manual"/>
    <x v="0"/>
    <n v="0"/>
    <x v="0"/>
    <x v="0"/>
    <n v="35"/>
    <x v="0"/>
    <s v="No"/>
    <x v="0"/>
  </r>
  <r>
    <n v="16713"/>
    <s v="M"/>
    <x v="0"/>
    <s v="M"/>
    <x v="1"/>
    <n v="40000"/>
    <n v="2"/>
    <x v="0"/>
    <s v="Management"/>
    <x v="0"/>
    <n v="1"/>
    <x v="0"/>
    <x v="1"/>
    <n v="52"/>
    <x v="0"/>
    <s v="Yes"/>
    <x v="1"/>
  </r>
  <r>
    <n v="16185"/>
    <s v="S"/>
    <x v="1"/>
    <s v="M"/>
    <x v="1"/>
    <n v="60000"/>
    <n v="4"/>
    <x v="0"/>
    <s v="Professional"/>
    <x v="0"/>
    <n v="3"/>
    <x v="4"/>
    <x v="1"/>
    <n v="41"/>
    <x v="0"/>
    <s v="No"/>
    <x v="0"/>
  </r>
  <r>
    <n v="14927"/>
    <s v="M"/>
    <x v="0"/>
    <s v="F"/>
    <x v="0"/>
    <n v="30000"/>
    <n v="1"/>
    <x v="0"/>
    <s v="Clerical"/>
    <x v="0"/>
    <n v="0"/>
    <x v="0"/>
    <x v="0"/>
    <n v="37"/>
    <x v="0"/>
    <s v="Yes"/>
    <x v="1"/>
  </r>
  <r>
    <n v="29337"/>
    <s v="S"/>
    <x v="1"/>
    <s v="M"/>
    <x v="1"/>
    <n v="30000"/>
    <n v="2"/>
    <x v="1"/>
    <s v="Clerical"/>
    <x v="0"/>
    <n v="2"/>
    <x v="2"/>
    <x v="1"/>
    <n v="68"/>
    <x v="1"/>
    <s v="No"/>
    <x v="0"/>
  </r>
  <r>
    <n v="29355"/>
    <s v="M"/>
    <x v="0"/>
    <s v="F"/>
    <x v="0"/>
    <n v="40000"/>
    <n v="0"/>
    <x v="4"/>
    <s v="Clerical"/>
    <x v="0"/>
    <n v="0"/>
    <x v="0"/>
    <x v="0"/>
    <n v="37"/>
    <x v="0"/>
    <s v="Yes"/>
    <x v="1"/>
  </r>
  <r>
    <n v="25303"/>
    <s v="S"/>
    <x v="1"/>
    <s v="M"/>
    <x v="1"/>
    <n v="30000"/>
    <n v="0"/>
    <x v="2"/>
    <s v="Manual"/>
    <x v="0"/>
    <n v="1"/>
    <x v="1"/>
    <x v="0"/>
    <n v="33"/>
    <x v="0"/>
    <s v="Yes"/>
    <x v="1"/>
  </r>
  <r>
    <n v="14813"/>
    <s v="S"/>
    <x v="1"/>
    <s v="F"/>
    <x v="0"/>
    <n v="20000"/>
    <n v="4"/>
    <x v="2"/>
    <s v="Manual"/>
    <x v="0"/>
    <n v="1"/>
    <x v="0"/>
    <x v="0"/>
    <n v="43"/>
    <x v="0"/>
    <s v="Yes"/>
    <x v="1"/>
  </r>
  <r>
    <n v="16438"/>
    <s v="M"/>
    <x v="0"/>
    <s v="F"/>
    <x v="0"/>
    <n v="10000"/>
    <n v="0"/>
    <x v="3"/>
    <s v="Manual"/>
    <x v="1"/>
    <n v="2"/>
    <x v="0"/>
    <x v="0"/>
    <n v="30"/>
    <x v="2"/>
    <s v="No"/>
    <x v="0"/>
  </r>
  <r>
    <n v="14238"/>
    <s v="M"/>
    <x v="0"/>
    <s v="M"/>
    <x v="1"/>
    <n v="120000"/>
    <n v="0"/>
    <x v="3"/>
    <s v="Professional"/>
    <x v="0"/>
    <n v="4"/>
    <x v="4"/>
    <x v="1"/>
    <n v="36"/>
    <x v="0"/>
    <s v="Yes"/>
    <x v="1"/>
  </r>
  <r>
    <n v="16200"/>
    <s v="S"/>
    <x v="1"/>
    <s v="F"/>
    <x v="0"/>
    <n v="10000"/>
    <n v="0"/>
    <x v="3"/>
    <s v="Manual"/>
    <x v="1"/>
    <n v="2"/>
    <x v="0"/>
    <x v="0"/>
    <n v="35"/>
    <x v="0"/>
    <s v="No"/>
    <x v="0"/>
  </r>
  <r>
    <n v="24857"/>
    <s v="M"/>
    <x v="0"/>
    <s v="F"/>
    <x v="0"/>
    <n v="130000"/>
    <n v="3"/>
    <x v="2"/>
    <s v="Professional"/>
    <x v="0"/>
    <n v="4"/>
    <x v="0"/>
    <x v="0"/>
    <n v="52"/>
    <x v="0"/>
    <s v="No"/>
    <x v="0"/>
  </r>
  <r>
    <n v="26956"/>
    <s v="S"/>
    <x v="1"/>
    <s v="F"/>
    <x v="0"/>
    <n v="20000"/>
    <n v="0"/>
    <x v="1"/>
    <s v="Manual"/>
    <x v="1"/>
    <n v="1"/>
    <x v="1"/>
    <x v="0"/>
    <n v="36"/>
    <x v="0"/>
    <s v="Yes"/>
    <x v="1"/>
  </r>
  <r>
    <n v="14517"/>
    <s v="M"/>
    <x v="0"/>
    <s v="F"/>
    <x v="0"/>
    <n v="20000"/>
    <n v="3"/>
    <x v="2"/>
    <s v="Skilled Manual"/>
    <x v="1"/>
    <n v="2"/>
    <x v="3"/>
    <x v="1"/>
    <n v="62"/>
    <x v="1"/>
    <s v="No"/>
    <x v="0"/>
  </r>
  <r>
    <n v="12678"/>
    <s v="S"/>
    <x v="1"/>
    <s v="F"/>
    <x v="0"/>
    <n v="130000"/>
    <n v="4"/>
    <x v="2"/>
    <s v="Management"/>
    <x v="0"/>
    <n v="4"/>
    <x v="0"/>
    <x v="1"/>
    <n v="31"/>
    <x v="0"/>
    <s v="No"/>
    <x v="0"/>
  </r>
  <r>
    <n v="16188"/>
    <s v="S"/>
    <x v="1"/>
    <s v="F"/>
    <x v="0"/>
    <n v="20000"/>
    <n v="0"/>
    <x v="3"/>
    <s v="Manual"/>
    <x v="1"/>
    <n v="2"/>
    <x v="3"/>
    <x v="0"/>
    <n v="26"/>
    <x v="2"/>
    <s v="No"/>
    <x v="0"/>
  </r>
  <r>
    <n v="27969"/>
    <s v="M"/>
    <x v="0"/>
    <s v="M"/>
    <x v="1"/>
    <n v="80000"/>
    <n v="0"/>
    <x v="0"/>
    <s v="Professional"/>
    <x v="0"/>
    <n v="2"/>
    <x v="4"/>
    <x v="1"/>
    <n v="29"/>
    <x v="2"/>
    <s v="Yes"/>
    <x v="1"/>
  </r>
  <r>
    <n v="15752"/>
    <s v="M"/>
    <x v="0"/>
    <s v="M"/>
    <x v="1"/>
    <n v="80000"/>
    <n v="2"/>
    <x v="2"/>
    <s v="Skilled Manual"/>
    <x v="1"/>
    <n v="2"/>
    <x v="3"/>
    <x v="1"/>
    <n v="50"/>
    <x v="0"/>
    <s v="Yes"/>
    <x v="1"/>
  </r>
  <r>
    <n v="27745"/>
    <s v="S"/>
    <x v="1"/>
    <s v="M"/>
    <x v="1"/>
    <n v="40000"/>
    <n v="2"/>
    <x v="0"/>
    <s v="Management"/>
    <x v="0"/>
    <n v="2"/>
    <x v="2"/>
    <x v="1"/>
    <n v="63"/>
    <x v="1"/>
    <s v="Yes"/>
    <x v="1"/>
  </r>
  <r>
    <n v="20828"/>
    <s v="M"/>
    <x v="0"/>
    <s v="F"/>
    <x v="0"/>
    <n v="30000"/>
    <n v="4"/>
    <x v="4"/>
    <s v="Clerical"/>
    <x v="0"/>
    <n v="0"/>
    <x v="0"/>
    <x v="0"/>
    <n v="45"/>
    <x v="0"/>
    <s v="Yes"/>
    <x v="1"/>
  </r>
  <r>
    <n v="19461"/>
    <s v="S"/>
    <x v="1"/>
    <s v="F"/>
    <x v="0"/>
    <n v="10000"/>
    <n v="4"/>
    <x v="3"/>
    <s v="Manual"/>
    <x v="0"/>
    <n v="2"/>
    <x v="0"/>
    <x v="0"/>
    <n v="40"/>
    <x v="0"/>
    <s v="No"/>
    <x v="0"/>
  </r>
  <r>
    <n v="26941"/>
    <s v="M"/>
    <x v="0"/>
    <s v="M"/>
    <x v="1"/>
    <n v="30000"/>
    <n v="0"/>
    <x v="0"/>
    <s v="Clerical"/>
    <x v="0"/>
    <n v="0"/>
    <x v="0"/>
    <x v="0"/>
    <n v="47"/>
    <x v="0"/>
    <s v="Yes"/>
    <x v="1"/>
  </r>
  <r>
    <n v="28412"/>
    <s v="S"/>
    <x v="1"/>
    <s v="M"/>
    <x v="1"/>
    <n v="20000"/>
    <n v="0"/>
    <x v="2"/>
    <s v="Manual"/>
    <x v="1"/>
    <n v="1"/>
    <x v="1"/>
    <x v="0"/>
    <n v="29"/>
    <x v="2"/>
    <s v="No"/>
    <x v="0"/>
  </r>
  <r>
    <n v="24485"/>
    <s v="S"/>
    <x v="1"/>
    <s v="M"/>
    <x v="1"/>
    <n v="40000"/>
    <n v="2"/>
    <x v="0"/>
    <s v="Management"/>
    <x v="1"/>
    <n v="1"/>
    <x v="2"/>
    <x v="1"/>
    <n v="52"/>
    <x v="0"/>
    <s v="Yes"/>
    <x v="1"/>
  </r>
  <r>
    <n v="16514"/>
    <s v="S"/>
    <x v="1"/>
    <s v="M"/>
    <x v="1"/>
    <n v="10000"/>
    <n v="0"/>
    <x v="1"/>
    <s v="Manual"/>
    <x v="0"/>
    <n v="1"/>
    <x v="3"/>
    <x v="1"/>
    <n v="26"/>
    <x v="2"/>
    <s v="Yes"/>
    <x v="1"/>
  </r>
  <r>
    <n v="17191"/>
    <s v="S"/>
    <x v="1"/>
    <s v="M"/>
    <x v="1"/>
    <n v="130000"/>
    <n v="3"/>
    <x v="1"/>
    <s v="Professional"/>
    <x v="1"/>
    <n v="3"/>
    <x v="0"/>
    <x v="0"/>
    <n v="51"/>
    <x v="0"/>
    <s v="Yes"/>
    <x v="1"/>
  </r>
  <r>
    <n v="19608"/>
    <s v="M"/>
    <x v="0"/>
    <s v="M"/>
    <x v="1"/>
    <n v="80000"/>
    <n v="5"/>
    <x v="0"/>
    <s v="Professional"/>
    <x v="0"/>
    <n v="4"/>
    <x v="3"/>
    <x v="1"/>
    <n v="40"/>
    <x v="0"/>
    <s v="No"/>
    <x v="0"/>
  </r>
  <r>
    <n v="24119"/>
    <s v="S"/>
    <x v="1"/>
    <s v="M"/>
    <x v="1"/>
    <n v="30000"/>
    <n v="0"/>
    <x v="1"/>
    <s v="Clerical"/>
    <x v="1"/>
    <n v="1"/>
    <x v="1"/>
    <x v="0"/>
    <n v="29"/>
    <x v="2"/>
    <s v="No"/>
    <x v="0"/>
  </r>
  <r>
    <n v="25458"/>
    <s v="M"/>
    <x v="0"/>
    <s v="M"/>
    <x v="1"/>
    <n v="20000"/>
    <n v="1"/>
    <x v="2"/>
    <s v="Manual"/>
    <x v="1"/>
    <n v="1"/>
    <x v="3"/>
    <x v="0"/>
    <n v="40"/>
    <x v="0"/>
    <s v="Yes"/>
    <x v="1"/>
  </r>
  <r>
    <n v="26886"/>
    <s v="S"/>
    <x v="1"/>
    <s v="F"/>
    <x v="0"/>
    <n v="30000"/>
    <n v="0"/>
    <x v="1"/>
    <s v="Clerical"/>
    <x v="1"/>
    <n v="1"/>
    <x v="0"/>
    <x v="0"/>
    <n v="29"/>
    <x v="2"/>
    <s v="Yes"/>
    <x v="1"/>
  </r>
  <r>
    <n v="28436"/>
    <s v="S"/>
    <x v="1"/>
    <s v="M"/>
    <x v="1"/>
    <n v="30000"/>
    <n v="0"/>
    <x v="1"/>
    <s v="Clerical"/>
    <x v="1"/>
    <n v="1"/>
    <x v="0"/>
    <x v="0"/>
    <n v="30"/>
    <x v="2"/>
    <s v="Yes"/>
    <x v="1"/>
  </r>
  <r>
    <n v="19562"/>
    <s v="S"/>
    <x v="1"/>
    <s v="F"/>
    <x v="0"/>
    <n v="60000"/>
    <n v="2"/>
    <x v="0"/>
    <s v="Professional"/>
    <x v="0"/>
    <n v="1"/>
    <x v="1"/>
    <x v="1"/>
    <n v="37"/>
    <x v="0"/>
    <s v="Yes"/>
    <x v="1"/>
  </r>
  <r>
    <n v="15608"/>
    <s v="S"/>
    <x v="1"/>
    <s v="F"/>
    <x v="0"/>
    <n v="30000"/>
    <n v="0"/>
    <x v="1"/>
    <s v="Clerical"/>
    <x v="1"/>
    <n v="1"/>
    <x v="1"/>
    <x v="0"/>
    <n v="33"/>
    <x v="0"/>
    <s v="No"/>
    <x v="0"/>
  </r>
  <r>
    <n v="16487"/>
    <s v="S"/>
    <x v="1"/>
    <s v="F"/>
    <x v="0"/>
    <n v="30000"/>
    <n v="3"/>
    <x v="2"/>
    <s v="Skilled Manual"/>
    <x v="0"/>
    <n v="2"/>
    <x v="2"/>
    <x v="1"/>
    <n v="55"/>
    <x v="1"/>
    <s v="No"/>
    <x v="0"/>
  </r>
  <r>
    <n v="17197"/>
    <s v="S"/>
    <x v="1"/>
    <s v="F"/>
    <x v="0"/>
    <n v="90000"/>
    <n v="5"/>
    <x v="1"/>
    <s v="Professional"/>
    <x v="0"/>
    <n v="2"/>
    <x v="4"/>
    <x v="0"/>
    <n v="62"/>
    <x v="1"/>
    <s v="No"/>
    <x v="0"/>
  </r>
  <r>
    <n v="12507"/>
    <s v="M"/>
    <x v="0"/>
    <s v="M"/>
    <x v="1"/>
    <n v="30000"/>
    <n v="1"/>
    <x v="1"/>
    <s v="Clerical"/>
    <x v="0"/>
    <n v="1"/>
    <x v="0"/>
    <x v="0"/>
    <n v="43"/>
    <x v="0"/>
    <s v="No"/>
    <x v="0"/>
  </r>
  <r>
    <n v="23940"/>
    <s v="M"/>
    <x v="0"/>
    <s v="M"/>
    <x v="1"/>
    <n v="40000"/>
    <n v="1"/>
    <x v="0"/>
    <s v="Skilled Manual"/>
    <x v="0"/>
    <n v="1"/>
    <x v="0"/>
    <x v="0"/>
    <n v="44"/>
    <x v="0"/>
    <s v="Yes"/>
    <x v="1"/>
  </r>
  <r>
    <n v="19441"/>
    <s v="M"/>
    <x v="0"/>
    <s v="M"/>
    <x v="1"/>
    <n v="40000"/>
    <n v="0"/>
    <x v="4"/>
    <s v="Clerical"/>
    <x v="0"/>
    <n v="0"/>
    <x v="0"/>
    <x v="0"/>
    <n v="25"/>
    <x v="2"/>
    <s v="Yes"/>
    <x v="1"/>
  </r>
  <r>
    <n v="26852"/>
    <s v="M"/>
    <x v="0"/>
    <s v="F"/>
    <x v="0"/>
    <n v="20000"/>
    <n v="3"/>
    <x v="2"/>
    <s v="Manual"/>
    <x v="0"/>
    <n v="2"/>
    <x v="0"/>
    <x v="0"/>
    <n v="43"/>
    <x v="0"/>
    <s v="No"/>
    <x v="0"/>
  </r>
  <r>
    <n v="12274"/>
    <s v="S"/>
    <x v="1"/>
    <s v="M"/>
    <x v="1"/>
    <n v="10000"/>
    <n v="2"/>
    <x v="2"/>
    <s v="Manual"/>
    <x v="0"/>
    <n v="0"/>
    <x v="0"/>
    <x v="0"/>
    <n v="35"/>
    <x v="0"/>
    <s v="No"/>
    <x v="0"/>
  </r>
  <r>
    <n v="20236"/>
    <s v="S"/>
    <x v="1"/>
    <s v="M"/>
    <x v="1"/>
    <n v="60000"/>
    <n v="3"/>
    <x v="0"/>
    <s v="Professional"/>
    <x v="1"/>
    <n v="2"/>
    <x v="0"/>
    <x v="1"/>
    <n v="43"/>
    <x v="0"/>
    <s v="Yes"/>
    <x v="1"/>
  </r>
  <r>
    <n v="24149"/>
    <s v="M"/>
    <x v="0"/>
    <s v="M"/>
    <x v="1"/>
    <n v="10000"/>
    <n v="2"/>
    <x v="1"/>
    <s v="Manual"/>
    <x v="0"/>
    <n v="0"/>
    <x v="3"/>
    <x v="0"/>
    <n v="49"/>
    <x v="0"/>
    <s v="No"/>
    <x v="0"/>
  </r>
  <r>
    <n v="26139"/>
    <s v="S"/>
    <x v="1"/>
    <s v="M"/>
    <x v="1"/>
    <n v="60000"/>
    <n v="1"/>
    <x v="1"/>
    <s v="Skilled Manual"/>
    <x v="0"/>
    <n v="1"/>
    <x v="2"/>
    <x v="1"/>
    <n v="45"/>
    <x v="0"/>
    <s v="No"/>
    <x v="0"/>
  </r>
  <r>
    <n v="18491"/>
    <s v="S"/>
    <x v="1"/>
    <s v="F"/>
    <x v="0"/>
    <n v="70000"/>
    <n v="2"/>
    <x v="2"/>
    <s v="Professional"/>
    <x v="0"/>
    <n v="2"/>
    <x v="2"/>
    <x v="1"/>
    <n v="49"/>
    <x v="0"/>
    <s v="Yes"/>
    <x v="1"/>
  </r>
  <r>
    <n v="22707"/>
    <s v="S"/>
    <x v="1"/>
    <s v="F"/>
    <x v="0"/>
    <n v="30000"/>
    <n v="0"/>
    <x v="1"/>
    <s v="Clerical"/>
    <x v="1"/>
    <n v="1"/>
    <x v="1"/>
    <x v="0"/>
    <n v="30"/>
    <x v="2"/>
    <s v="No"/>
    <x v="0"/>
  </r>
  <r>
    <n v="20430"/>
    <s v="M"/>
    <x v="0"/>
    <s v="M"/>
    <x v="1"/>
    <n v="70000"/>
    <n v="2"/>
    <x v="1"/>
    <s v="Skilled Manual"/>
    <x v="0"/>
    <n v="2"/>
    <x v="2"/>
    <x v="1"/>
    <n v="52"/>
    <x v="0"/>
    <s v="Yes"/>
    <x v="1"/>
  </r>
  <r>
    <n v="27494"/>
    <s v="S"/>
    <x v="1"/>
    <s v="F"/>
    <x v="0"/>
    <n v="40000"/>
    <n v="2"/>
    <x v="1"/>
    <s v="Skilled Manual"/>
    <x v="1"/>
    <n v="2"/>
    <x v="3"/>
    <x v="1"/>
    <n v="53"/>
    <x v="0"/>
    <s v="Yes"/>
    <x v="1"/>
  </r>
  <r>
    <n v="26829"/>
    <s v="M"/>
    <x v="0"/>
    <s v="F"/>
    <x v="0"/>
    <n v="40000"/>
    <n v="0"/>
    <x v="0"/>
    <s v="Clerical"/>
    <x v="0"/>
    <n v="0"/>
    <x v="0"/>
    <x v="0"/>
    <n v="38"/>
    <x v="0"/>
    <s v="Yes"/>
    <x v="1"/>
  </r>
  <r>
    <n v="28395"/>
    <s v="S"/>
    <x v="1"/>
    <s v="M"/>
    <x v="1"/>
    <n v="40000"/>
    <n v="0"/>
    <x v="0"/>
    <s v="Professional"/>
    <x v="1"/>
    <n v="0"/>
    <x v="0"/>
    <x v="0"/>
    <n v="39"/>
    <x v="0"/>
    <s v="Yes"/>
    <x v="1"/>
  </r>
  <r>
    <n v="21006"/>
    <s v="S"/>
    <x v="1"/>
    <s v="F"/>
    <x v="0"/>
    <n v="30000"/>
    <n v="1"/>
    <x v="1"/>
    <s v="Manual"/>
    <x v="1"/>
    <n v="0"/>
    <x v="0"/>
    <x v="0"/>
    <n v="46"/>
    <x v="0"/>
    <s v="Yes"/>
    <x v="1"/>
  </r>
  <r>
    <n v="14682"/>
    <s v="S"/>
    <x v="1"/>
    <s v="F"/>
    <x v="0"/>
    <n v="70000"/>
    <n v="0"/>
    <x v="0"/>
    <s v="Professional"/>
    <x v="1"/>
    <n v="1"/>
    <x v="2"/>
    <x v="1"/>
    <n v="38"/>
    <x v="0"/>
    <s v="No"/>
    <x v="0"/>
  </r>
  <r>
    <n v="17650"/>
    <s v="S"/>
    <x v="1"/>
    <s v="F"/>
    <x v="0"/>
    <n v="40000"/>
    <n v="2"/>
    <x v="1"/>
    <s v="Clerical"/>
    <x v="0"/>
    <n v="2"/>
    <x v="3"/>
    <x v="0"/>
    <n v="35"/>
    <x v="0"/>
    <s v="No"/>
    <x v="0"/>
  </r>
  <r>
    <n v="29191"/>
    <s v="S"/>
    <x v="1"/>
    <s v="F"/>
    <x v="0"/>
    <n v="130000"/>
    <n v="1"/>
    <x v="4"/>
    <s v="Management"/>
    <x v="1"/>
    <n v="1"/>
    <x v="0"/>
    <x v="1"/>
    <n v="36"/>
    <x v="0"/>
    <s v="Yes"/>
    <x v="1"/>
  </r>
  <r>
    <n v="15030"/>
    <s v="M"/>
    <x v="0"/>
    <s v="M"/>
    <x v="1"/>
    <n v="20000"/>
    <n v="0"/>
    <x v="0"/>
    <s v="Clerical"/>
    <x v="0"/>
    <n v="0"/>
    <x v="0"/>
    <x v="1"/>
    <n v="26"/>
    <x v="2"/>
    <s v="Yes"/>
    <x v="1"/>
  </r>
  <r>
    <n v="24140"/>
    <s v="S"/>
    <x v="1"/>
    <s v="M"/>
    <x v="1"/>
    <n v="10000"/>
    <n v="0"/>
    <x v="4"/>
    <s v="Manual"/>
    <x v="1"/>
    <n v="0"/>
    <x v="0"/>
    <x v="0"/>
    <n v="30"/>
    <x v="2"/>
    <s v="Yes"/>
    <x v="1"/>
  </r>
  <r>
    <n v="22496"/>
    <s v="M"/>
    <x v="0"/>
    <s v="F"/>
    <x v="0"/>
    <n v="30000"/>
    <n v="1"/>
    <x v="0"/>
    <s v="Skilled Manual"/>
    <x v="0"/>
    <n v="2"/>
    <x v="0"/>
    <x v="0"/>
    <n v="42"/>
    <x v="0"/>
    <s v="No"/>
    <x v="0"/>
  </r>
  <r>
    <n v="24065"/>
    <s v="S"/>
    <x v="1"/>
    <s v="F"/>
    <x v="0"/>
    <n v="20000"/>
    <n v="0"/>
    <x v="2"/>
    <s v="Manual"/>
    <x v="0"/>
    <n v="0"/>
    <x v="0"/>
    <x v="0"/>
    <n v="40"/>
    <x v="0"/>
    <s v="Yes"/>
    <x v="1"/>
  </r>
  <r>
    <n v="19914"/>
    <s v="M"/>
    <x v="0"/>
    <s v="M"/>
    <x v="1"/>
    <n v="80000"/>
    <n v="5"/>
    <x v="0"/>
    <s v="Management"/>
    <x v="0"/>
    <n v="2"/>
    <x v="1"/>
    <x v="0"/>
    <n v="62"/>
    <x v="1"/>
    <s v="No"/>
    <x v="0"/>
  </r>
  <r>
    <n v="12871"/>
    <s v="S"/>
    <x v="1"/>
    <s v="F"/>
    <x v="0"/>
    <n v="30000"/>
    <n v="0"/>
    <x v="1"/>
    <s v="Clerical"/>
    <x v="1"/>
    <n v="1"/>
    <x v="1"/>
    <x v="0"/>
    <n v="29"/>
    <x v="2"/>
    <s v="No"/>
    <x v="0"/>
  </r>
  <r>
    <n v="22988"/>
    <s v="M"/>
    <x v="0"/>
    <s v="F"/>
    <x v="0"/>
    <n v="40000"/>
    <n v="2"/>
    <x v="0"/>
    <s v="Management"/>
    <x v="0"/>
    <n v="2"/>
    <x v="2"/>
    <x v="1"/>
    <n v="66"/>
    <x v="1"/>
    <s v="Yes"/>
    <x v="1"/>
  </r>
  <r>
    <n v="15922"/>
    <s v="M"/>
    <x v="0"/>
    <s v="M"/>
    <x v="1"/>
    <n v="150000"/>
    <n v="2"/>
    <x v="2"/>
    <s v="Professional"/>
    <x v="0"/>
    <n v="4"/>
    <x v="0"/>
    <x v="0"/>
    <n v="48"/>
    <x v="0"/>
    <s v="No"/>
    <x v="0"/>
  </r>
  <r>
    <n v="12344"/>
    <s v="S"/>
    <x v="1"/>
    <s v="F"/>
    <x v="0"/>
    <n v="80000"/>
    <n v="0"/>
    <x v="0"/>
    <s v="Professional"/>
    <x v="1"/>
    <n v="3"/>
    <x v="4"/>
    <x v="1"/>
    <n v="31"/>
    <x v="0"/>
    <s v="No"/>
    <x v="0"/>
  </r>
  <r>
    <n v="23627"/>
    <s v="S"/>
    <x v="1"/>
    <s v="F"/>
    <x v="0"/>
    <n v="100000"/>
    <n v="3"/>
    <x v="1"/>
    <s v="Management"/>
    <x v="1"/>
    <n v="4"/>
    <x v="2"/>
    <x v="0"/>
    <n v="56"/>
    <x v="1"/>
    <s v="No"/>
    <x v="0"/>
  </r>
  <r>
    <n v="27775"/>
    <s v="S"/>
    <x v="1"/>
    <s v="F"/>
    <x v="0"/>
    <n v="40000"/>
    <n v="0"/>
    <x v="0"/>
    <s v="Clerical"/>
    <x v="1"/>
    <n v="0"/>
    <x v="0"/>
    <x v="0"/>
    <n v="38"/>
    <x v="0"/>
    <s v="Yes"/>
    <x v="1"/>
  </r>
  <r>
    <n v="29301"/>
    <s v="M"/>
    <x v="0"/>
    <s v="M"/>
    <x v="1"/>
    <n v="80000"/>
    <n v="5"/>
    <x v="0"/>
    <s v="Professional"/>
    <x v="0"/>
    <n v="4"/>
    <x v="3"/>
    <x v="1"/>
    <n v="40"/>
    <x v="0"/>
    <s v="No"/>
    <x v="0"/>
  </r>
  <r>
    <n v="12716"/>
    <s v="S"/>
    <x v="1"/>
    <s v="M"/>
    <x v="1"/>
    <n v="30000"/>
    <n v="0"/>
    <x v="1"/>
    <s v="Clerical"/>
    <x v="0"/>
    <n v="1"/>
    <x v="1"/>
    <x v="0"/>
    <n v="32"/>
    <x v="0"/>
    <s v="No"/>
    <x v="0"/>
  </r>
  <r>
    <n v="12472"/>
    <s v="M"/>
    <x v="0"/>
    <s v="M"/>
    <x v="1"/>
    <n v="30000"/>
    <n v="1"/>
    <x v="0"/>
    <s v="Clerical"/>
    <x v="0"/>
    <n v="1"/>
    <x v="1"/>
    <x v="0"/>
    <n v="39"/>
    <x v="0"/>
    <s v="No"/>
    <x v="0"/>
  </r>
  <r>
    <n v="20970"/>
    <s v="S"/>
    <x v="1"/>
    <s v="M"/>
    <x v="1"/>
    <n v="10000"/>
    <n v="2"/>
    <x v="1"/>
    <s v="Manual"/>
    <x v="0"/>
    <n v="1"/>
    <x v="0"/>
    <x v="0"/>
    <n v="52"/>
    <x v="0"/>
    <s v="Yes"/>
    <x v="1"/>
  </r>
  <r>
    <n v="26818"/>
    <s v="S"/>
    <x v="1"/>
    <s v="M"/>
    <x v="1"/>
    <n v="10000"/>
    <n v="3"/>
    <x v="2"/>
    <s v="Manual"/>
    <x v="0"/>
    <n v="1"/>
    <x v="0"/>
    <x v="0"/>
    <n v="39"/>
    <x v="0"/>
    <s v="Yes"/>
    <x v="1"/>
  </r>
  <r>
    <n v="12993"/>
    <s v="M"/>
    <x v="0"/>
    <s v="M"/>
    <x v="1"/>
    <n v="60000"/>
    <n v="2"/>
    <x v="0"/>
    <s v="Professional"/>
    <x v="0"/>
    <n v="1"/>
    <x v="1"/>
    <x v="1"/>
    <n v="37"/>
    <x v="0"/>
    <s v="No"/>
    <x v="0"/>
  </r>
  <r>
    <n v="14192"/>
    <s v="M"/>
    <x v="0"/>
    <s v="M"/>
    <x v="1"/>
    <n v="90000"/>
    <n v="4"/>
    <x v="2"/>
    <s v="Management"/>
    <x v="0"/>
    <n v="3"/>
    <x v="2"/>
    <x v="0"/>
    <n v="56"/>
    <x v="1"/>
    <s v="Yes"/>
    <x v="1"/>
  </r>
  <r>
    <n v="19477"/>
    <s v="M"/>
    <x v="0"/>
    <s v="M"/>
    <x v="1"/>
    <n v="40000"/>
    <n v="0"/>
    <x v="0"/>
    <s v="Professional"/>
    <x v="0"/>
    <n v="0"/>
    <x v="0"/>
    <x v="0"/>
    <n v="40"/>
    <x v="0"/>
    <s v="Yes"/>
    <x v="1"/>
  </r>
  <r>
    <n v="26796"/>
    <s v="S"/>
    <x v="1"/>
    <s v="M"/>
    <x v="1"/>
    <n v="40000"/>
    <n v="2"/>
    <x v="0"/>
    <s v="Management"/>
    <x v="0"/>
    <n v="2"/>
    <x v="2"/>
    <x v="1"/>
    <n v="65"/>
    <x v="1"/>
    <s v="Yes"/>
    <x v="1"/>
  </r>
  <r>
    <n v="21094"/>
    <s v="S"/>
    <x v="1"/>
    <s v="F"/>
    <x v="0"/>
    <n v="30000"/>
    <n v="2"/>
    <x v="1"/>
    <s v="Clerical"/>
    <x v="0"/>
    <n v="2"/>
    <x v="0"/>
    <x v="0"/>
    <n v="42"/>
    <x v="0"/>
    <s v="No"/>
    <x v="0"/>
  </r>
  <r>
    <n v="12234"/>
    <s v="M"/>
    <x v="0"/>
    <s v="M"/>
    <x v="1"/>
    <n v="10000"/>
    <n v="2"/>
    <x v="1"/>
    <s v="Manual"/>
    <x v="0"/>
    <n v="1"/>
    <x v="1"/>
    <x v="0"/>
    <n v="52"/>
    <x v="0"/>
    <s v="No"/>
    <x v="0"/>
  </r>
  <r>
    <n v="28683"/>
    <s v="S"/>
    <x v="1"/>
    <s v="F"/>
    <x v="0"/>
    <n v="10000"/>
    <n v="1"/>
    <x v="2"/>
    <s v="Manual"/>
    <x v="1"/>
    <n v="1"/>
    <x v="2"/>
    <x v="0"/>
    <n v="35"/>
    <x v="0"/>
    <s v="Yes"/>
    <x v="1"/>
  </r>
  <r>
    <n v="17994"/>
    <s v="S"/>
    <x v="1"/>
    <s v="M"/>
    <x v="1"/>
    <n v="20000"/>
    <n v="2"/>
    <x v="2"/>
    <s v="Manual"/>
    <x v="0"/>
    <n v="2"/>
    <x v="0"/>
    <x v="0"/>
    <n v="42"/>
    <x v="0"/>
    <s v="No"/>
    <x v="0"/>
  </r>
  <r>
    <n v="24273"/>
    <s v="M"/>
    <x v="0"/>
    <s v="F"/>
    <x v="0"/>
    <n v="20000"/>
    <n v="2"/>
    <x v="3"/>
    <s v="Clerical"/>
    <x v="0"/>
    <n v="2"/>
    <x v="2"/>
    <x v="1"/>
    <n v="55"/>
    <x v="1"/>
    <s v="Yes"/>
    <x v="1"/>
  </r>
  <r>
    <n v="26547"/>
    <s v="S"/>
    <x v="1"/>
    <s v="F"/>
    <x v="0"/>
    <n v="30000"/>
    <n v="2"/>
    <x v="1"/>
    <s v="Clerical"/>
    <x v="1"/>
    <n v="2"/>
    <x v="2"/>
    <x v="1"/>
    <n v="60"/>
    <x v="1"/>
    <s v="Yes"/>
    <x v="1"/>
  </r>
  <r>
    <n v="22500"/>
    <s v="S"/>
    <x v="1"/>
    <s v="M"/>
    <x v="1"/>
    <n v="40000"/>
    <n v="0"/>
    <x v="0"/>
    <s v="Professional"/>
    <x v="1"/>
    <n v="0"/>
    <x v="0"/>
    <x v="0"/>
    <n v="40"/>
    <x v="0"/>
    <s v="Yes"/>
    <x v="1"/>
  </r>
  <r>
    <n v="23993"/>
    <s v="S"/>
    <x v="1"/>
    <s v="F"/>
    <x v="0"/>
    <n v="10000"/>
    <n v="0"/>
    <x v="1"/>
    <s v="Manual"/>
    <x v="1"/>
    <n v="1"/>
    <x v="0"/>
    <x v="1"/>
    <n v="26"/>
    <x v="2"/>
    <s v="Yes"/>
    <x v="1"/>
  </r>
  <r>
    <n v="14832"/>
    <s v="M"/>
    <x v="0"/>
    <s v="M"/>
    <x v="1"/>
    <n v="40000"/>
    <n v="1"/>
    <x v="0"/>
    <s v="Skilled Manual"/>
    <x v="0"/>
    <n v="0"/>
    <x v="0"/>
    <x v="0"/>
    <n v="42"/>
    <x v="0"/>
    <s v="Yes"/>
    <x v="1"/>
  </r>
  <r>
    <n v="16614"/>
    <s v="M"/>
    <x v="0"/>
    <s v="F"/>
    <x v="0"/>
    <n v="80000"/>
    <n v="0"/>
    <x v="0"/>
    <s v="Professional"/>
    <x v="0"/>
    <n v="3"/>
    <x v="4"/>
    <x v="1"/>
    <n v="32"/>
    <x v="0"/>
    <s v="No"/>
    <x v="0"/>
  </r>
  <r>
    <n v="20877"/>
    <s v="S"/>
    <x v="1"/>
    <s v="M"/>
    <x v="1"/>
    <n v="30000"/>
    <n v="1"/>
    <x v="0"/>
    <s v="Clerical"/>
    <x v="0"/>
    <n v="0"/>
    <x v="3"/>
    <x v="0"/>
    <n v="37"/>
    <x v="0"/>
    <s v="Yes"/>
    <x v="1"/>
  </r>
  <r>
    <n v="20729"/>
    <s v="M"/>
    <x v="0"/>
    <s v="F"/>
    <x v="0"/>
    <n v="40000"/>
    <n v="2"/>
    <x v="1"/>
    <s v="Clerical"/>
    <x v="1"/>
    <n v="1"/>
    <x v="0"/>
    <x v="0"/>
    <n v="34"/>
    <x v="0"/>
    <s v="No"/>
    <x v="0"/>
  </r>
  <r>
    <n v="22464"/>
    <s v="M"/>
    <x v="0"/>
    <s v="M"/>
    <x v="1"/>
    <n v="40000"/>
    <n v="0"/>
    <x v="4"/>
    <s v="Clerical"/>
    <x v="0"/>
    <n v="0"/>
    <x v="0"/>
    <x v="0"/>
    <n v="37"/>
    <x v="0"/>
    <s v="Yes"/>
    <x v="1"/>
  </r>
  <r>
    <n v="19475"/>
    <s v="M"/>
    <x v="0"/>
    <s v="F"/>
    <x v="0"/>
    <n v="40000"/>
    <n v="0"/>
    <x v="0"/>
    <s v="Professional"/>
    <x v="1"/>
    <n v="0"/>
    <x v="0"/>
    <x v="0"/>
    <n v="40"/>
    <x v="0"/>
    <s v="Yes"/>
    <x v="1"/>
  </r>
  <r>
    <n v="19675"/>
    <s v="M"/>
    <x v="0"/>
    <s v="M"/>
    <x v="1"/>
    <n v="20000"/>
    <n v="4"/>
    <x v="2"/>
    <s v="Skilled Manual"/>
    <x v="0"/>
    <n v="2"/>
    <x v="2"/>
    <x v="1"/>
    <n v="60"/>
    <x v="1"/>
    <s v="No"/>
    <x v="0"/>
  </r>
  <r>
    <n v="12728"/>
    <s v="S"/>
    <x v="1"/>
    <s v="M"/>
    <x v="1"/>
    <n v="30000"/>
    <n v="0"/>
    <x v="1"/>
    <s v="Clerical"/>
    <x v="1"/>
    <n v="1"/>
    <x v="3"/>
    <x v="0"/>
    <n v="27"/>
    <x v="2"/>
    <s v="No"/>
    <x v="0"/>
  </r>
  <r>
    <n v="26154"/>
    <s v="M"/>
    <x v="0"/>
    <s v="M"/>
    <x v="1"/>
    <n v="60000"/>
    <n v="1"/>
    <x v="1"/>
    <s v="Skilled Manual"/>
    <x v="0"/>
    <n v="1"/>
    <x v="2"/>
    <x v="1"/>
    <n v="43"/>
    <x v="0"/>
    <s v="Yes"/>
    <x v="1"/>
  </r>
  <r>
    <n v="29117"/>
    <s v="S"/>
    <x v="1"/>
    <s v="M"/>
    <x v="1"/>
    <n v="100000"/>
    <n v="1"/>
    <x v="0"/>
    <s v="Management"/>
    <x v="1"/>
    <n v="3"/>
    <x v="0"/>
    <x v="1"/>
    <n v="48"/>
    <x v="0"/>
    <s v="No"/>
    <x v="0"/>
  </r>
  <r>
    <n v="17845"/>
    <s v="S"/>
    <x v="1"/>
    <s v="F"/>
    <x v="0"/>
    <n v="20000"/>
    <n v="0"/>
    <x v="3"/>
    <s v="Manual"/>
    <x v="1"/>
    <n v="2"/>
    <x v="3"/>
    <x v="0"/>
    <n v="32"/>
    <x v="0"/>
    <s v="No"/>
    <x v="0"/>
  </r>
  <r>
    <n v="25058"/>
    <s v="M"/>
    <x v="0"/>
    <s v="M"/>
    <x v="1"/>
    <n v="100000"/>
    <n v="1"/>
    <x v="0"/>
    <s v="Management"/>
    <x v="0"/>
    <n v="3"/>
    <x v="1"/>
    <x v="1"/>
    <n v="47"/>
    <x v="0"/>
    <s v="No"/>
    <x v="0"/>
  </r>
  <r>
    <n v="23426"/>
    <s v="S"/>
    <x v="1"/>
    <s v="M"/>
    <x v="1"/>
    <n v="80000"/>
    <n v="5"/>
    <x v="4"/>
    <s v="Management"/>
    <x v="0"/>
    <n v="3"/>
    <x v="0"/>
    <x v="1"/>
    <n v="40"/>
    <x v="0"/>
    <s v="No"/>
    <x v="0"/>
  </r>
  <r>
    <n v="14798"/>
    <s v="S"/>
    <x v="1"/>
    <s v="F"/>
    <x v="0"/>
    <n v="10000"/>
    <n v="4"/>
    <x v="3"/>
    <s v="Manual"/>
    <x v="0"/>
    <n v="2"/>
    <x v="0"/>
    <x v="0"/>
    <n v="41"/>
    <x v="0"/>
    <s v="Yes"/>
    <x v="1"/>
  </r>
  <r>
    <n v="12664"/>
    <s v="M"/>
    <x v="0"/>
    <s v="F"/>
    <x v="0"/>
    <n v="130000"/>
    <n v="5"/>
    <x v="1"/>
    <s v="Professional"/>
    <x v="0"/>
    <n v="4"/>
    <x v="0"/>
    <x v="0"/>
    <n v="59"/>
    <x v="1"/>
    <s v="No"/>
    <x v="0"/>
  </r>
  <r>
    <n v="23979"/>
    <s v="S"/>
    <x v="1"/>
    <s v="M"/>
    <x v="1"/>
    <n v="10000"/>
    <n v="2"/>
    <x v="1"/>
    <s v="Manual"/>
    <x v="1"/>
    <n v="0"/>
    <x v="0"/>
    <x v="0"/>
    <n v="50"/>
    <x v="0"/>
    <s v="No"/>
    <x v="0"/>
  </r>
  <r>
    <n v="25605"/>
    <s v="S"/>
    <x v="1"/>
    <s v="F"/>
    <x v="0"/>
    <n v="20000"/>
    <n v="2"/>
    <x v="1"/>
    <s v="Manual"/>
    <x v="1"/>
    <n v="1"/>
    <x v="0"/>
    <x v="0"/>
    <n v="54"/>
    <x v="0"/>
    <s v="Yes"/>
    <x v="1"/>
  </r>
  <r>
    <n v="20797"/>
    <s v="M"/>
    <x v="0"/>
    <s v="F"/>
    <x v="0"/>
    <n v="10000"/>
    <n v="1"/>
    <x v="0"/>
    <s v="Manual"/>
    <x v="0"/>
    <n v="0"/>
    <x v="0"/>
    <x v="0"/>
    <n v="48"/>
    <x v="0"/>
    <s v="No"/>
    <x v="0"/>
  </r>
  <r>
    <n v="21980"/>
    <s v="S"/>
    <x v="1"/>
    <s v="F"/>
    <x v="0"/>
    <n v="60000"/>
    <n v="1"/>
    <x v="0"/>
    <s v="Professional"/>
    <x v="0"/>
    <n v="1"/>
    <x v="2"/>
    <x v="1"/>
    <n v="44"/>
    <x v="0"/>
    <s v="Yes"/>
    <x v="1"/>
  </r>
  <r>
    <n v="25460"/>
    <s v="M"/>
    <x v="0"/>
    <s v="F"/>
    <x v="0"/>
    <n v="20000"/>
    <n v="2"/>
    <x v="2"/>
    <s v="Manual"/>
    <x v="0"/>
    <n v="0"/>
    <x v="0"/>
    <x v="0"/>
    <n v="40"/>
    <x v="0"/>
    <s v="Yes"/>
    <x v="1"/>
  </r>
  <r>
    <n v="29181"/>
    <s v="S"/>
    <x v="1"/>
    <s v="F"/>
    <x v="0"/>
    <n v="60000"/>
    <n v="2"/>
    <x v="0"/>
    <s v="Professional"/>
    <x v="1"/>
    <n v="1"/>
    <x v="0"/>
    <x v="1"/>
    <n v="38"/>
    <x v="0"/>
    <s v="Yes"/>
    <x v="1"/>
  </r>
  <r>
    <n v="24279"/>
    <s v="S"/>
    <x v="1"/>
    <s v="M"/>
    <x v="1"/>
    <n v="40000"/>
    <n v="2"/>
    <x v="1"/>
    <s v="Skilled Manual"/>
    <x v="1"/>
    <n v="2"/>
    <x v="3"/>
    <x v="1"/>
    <n v="52"/>
    <x v="0"/>
    <s v="No"/>
    <x v="0"/>
  </r>
  <r>
    <n v="22402"/>
    <s v="M"/>
    <x v="0"/>
    <s v="M"/>
    <x v="1"/>
    <n v="10000"/>
    <n v="0"/>
    <x v="1"/>
    <s v="Manual"/>
    <x v="0"/>
    <n v="1"/>
    <x v="1"/>
    <x v="1"/>
    <n v="25"/>
    <x v="2"/>
    <s v="Yes"/>
    <x v="1"/>
  </r>
  <r>
    <n v="15465"/>
    <s v="M"/>
    <x v="0"/>
    <s v="F"/>
    <x v="0"/>
    <n v="10000"/>
    <n v="0"/>
    <x v="1"/>
    <s v="Manual"/>
    <x v="1"/>
    <n v="1"/>
    <x v="0"/>
    <x v="1"/>
    <n v="25"/>
    <x v="2"/>
    <s v="No"/>
    <x v="0"/>
  </r>
  <r>
    <n v="26757"/>
    <s v="S"/>
    <x v="1"/>
    <s v="M"/>
    <x v="1"/>
    <n v="90000"/>
    <n v="1"/>
    <x v="0"/>
    <s v="Professional"/>
    <x v="0"/>
    <n v="1"/>
    <x v="1"/>
    <x v="1"/>
    <n v="47"/>
    <x v="0"/>
    <s v="Yes"/>
    <x v="1"/>
  </r>
  <r>
    <n v="14233"/>
    <s v="S"/>
    <x v="1"/>
    <s v="M"/>
    <x v="1"/>
    <n v="100000"/>
    <n v="0"/>
    <x v="2"/>
    <s v="Management"/>
    <x v="0"/>
    <n v="3"/>
    <x v="4"/>
    <x v="1"/>
    <n v="35"/>
    <x v="0"/>
    <s v="No"/>
    <x v="0"/>
  </r>
  <r>
    <n v="14058"/>
    <s v="S"/>
    <x v="1"/>
    <s v="M"/>
    <x v="1"/>
    <n v="70000"/>
    <n v="0"/>
    <x v="0"/>
    <s v="Professional"/>
    <x v="1"/>
    <n v="1"/>
    <x v="2"/>
    <x v="1"/>
    <n v="41"/>
    <x v="0"/>
    <s v="Yes"/>
    <x v="1"/>
  </r>
  <r>
    <n v="12273"/>
    <s v="M"/>
    <x v="0"/>
    <s v="M"/>
    <x v="1"/>
    <n v="30000"/>
    <n v="1"/>
    <x v="0"/>
    <s v="Clerical"/>
    <x v="0"/>
    <n v="0"/>
    <x v="0"/>
    <x v="0"/>
    <n v="47"/>
    <x v="0"/>
    <s v="No"/>
    <x v="0"/>
  </r>
  <r>
    <n v="17203"/>
    <s v="M"/>
    <x v="0"/>
    <s v="F"/>
    <x v="0"/>
    <n v="130000"/>
    <n v="4"/>
    <x v="1"/>
    <s v="Professional"/>
    <x v="0"/>
    <n v="4"/>
    <x v="2"/>
    <x v="0"/>
    <n v="61"/>
    <x v="1"/>
    <s v="Yes"/>
    <x v="1"/>
  </r>
  <r>
    <n v="18144"/>
    <s v="M"/>
    <x v="0"/>
    <s v="F"/>
    <x v="0"/>
    <n v="80000"/>
    <n v="5"/>
    <x v="0"/>
    <s v="Management"/>
    <x v="0"/>
    <n v="2"/>
    <x v="1"/>
    <x v="0"/>
    <n v="61"/>
    <x v="1"/>
    <s v="No"/>
    <x v="0"/>
  </r>
  <r>
    <n v="23963"/>
    <s v="M"/>
    <x v="0"/>
    <s v="M"/>
    <x v="1"/>
    <n v="10000"/>
    <n v="0"/>
    <x v="3"/>
    <s v="Manual"/>
    <x v="1"/>
    <n v="2"/>
    <x v="0"/>
    <x v="0"/>
    <n v="33"/>
    <x v="0"/>
    <s v="No"/>
    <x v="0"/>
  </r>
  <r>
    <n v="17907"/>
    <s v="M"/>
    <x v="0"/>
    <s v="F"/>
    <x v="0"/>
    <n v="10000"/>
    <n v="0"/>
    <x v="1"/>
    <s v="Manual"/>
    <x v="0"/>
    <n v="1"/>
    <x v="1"/>
    <x v="1"/>
    <n v="27"/>
    <x v="2"/>
    <s v="No"/>
    <x v="0"/>
  </r>
  <r>
    <n v="19442"/>
    <s v="S"/>
    <x v="1"/>
    <s v="M"/>
    <x v="1"/>
    <n v="50000"/>
    <n v="0"/>
    <x v="4"/>
    <s v="Skilled Manual"/>
    <x v="0"/>
    <n v="0"/>
    <x v="0"/>
    <x v="0"/>
    <n v="37"/>
    <x v="0"/>
    <s v="Yes"/>
    <x v="1"/>
  </r>
  <r>
    <n v="17504"/>
    <s v="S"/>
    <x v="1"/>
    <s v="F"/>
    <x v="0"/>
    <n v="80000"/>
    <n v="2"/>
    <x v="1"/>
    <s v="Skilled Manual"/>
    <x v="0"/>
    <n v="2"/>
    <x v="2"/>
    <x v="1"/>
    <n v="52"/>
    <x v="0"/>
    <s v="Yes"/>
    <x v="1"/>
  </r>
  <r>
    <n v="12253"/>
    <s v="S"/>
    <x v="1"/>
    <s v="F"/>
    <x v="0"/>
    <n v="20000"/>
    <n v="0"/>
    <x v="1"/>
    <s v="Manual"/>
    <x v="0"/>
    <n v="0"/>
    <x v="0"/>
    <x v="1"/>
    <n v="29"/>
    <x v="2"/>
    <s v="Yes"/>
    <x v="1"/>
  </r>
  <r>
    <n v="27304"/>
    <s v="S"/>
    <x v="1"/>
    <s v="F"/>
    <x v="0"/>
    <n v="110000"/>
    <n v="2"/>
    <x v="1"/>
    <s v="Professional"/>
    <x v="1"/>
    <n v="3"/>
    <x v="2"/>
    <x v="0"/>
    <n v="48"/>
    <x v="0"/>
    <s v="No"/>
    <x v="0"/>
  </r>
  <r>
    <n v="14191"/>
    <s v="M"/>
    <x v="0"/>
    <s v="M"/>
    <x v="1"/>
    <n v="160000"/>
    <n v="4"/>
    <x v="1"/>
    <s v="Professional"/>
    <x v="1"/>
    <n v="2"/>
    <x v="4"/>
    <x v="0"/>
    <n v="55"/>
    <x v="1"/>
    <s v="Yes"/>
    <x v="1"/>
  </r>
  <r>
    <n v="12212"/>
    <s v="M"/>
    <x v="0"/>
    <s v="F"/>
    <x v="0"/>
    <n v="10000"/>
    <n v="0"/>
    <x v="4"/>
    <s v="Manual"/>
    <x v="0"/>
    <n v="0"/>
    <x v="0"/>
    <x v="0"/>
    <n v="37"/>
    <x v="0"/>
    <s v="Yes"/>
    <x v="1"/>
  </r>
  <r>
    <n v="25529"/>
    <s v="S"/>
    <x v="1"/>
    <s v="M"/>
    <x v="1"/>
    <n v="10000"/>
    <n v="1"/>
    <x v="4"/>
    <s v="Manual"/>
    <x v="0"/>
    <n v="0"/>
    <x v="0"/>
    <x v="0"/>
    <n v="44"/>
    <x v="0"/>
    <s v="No"/>
    <x v="0"/>
  </r>
  <r>
    <n v="22170"/>
    <s v="M"/>
    <x v="0"/>
    <s v="F"/>
    <x v="0"/>
    <n v="30000"/>
    <n v="3"/>
    <x v="1"/>
    <s v="Clerical"/>
    <x v="1"/>
    <n v="2"/>
    <x v="3"/>
    <x v="1"/>
    <n v="55"/>
    <x v="1"/>
    <s v="Yes"/>
    <x v="1"/>
  </r>
  <r>
    <n v="19445"/>
    <s v="M"/>
    <x v="0"/>
    <s v="F"/>
    <x v="0"/>
    <n v="10000"/>
    <n v="2"/>
    <x v="2"/>
    <s v="Manual"/>
    <x v="1"/>
    <n v="1"/>
    <x v="0"/>
    <x v="0"/>
    <n v="38"/>
    <x v="0"/>
    <s v="No"/>
    <x v="0"/>
  </r>
  <r>
    <n v="15265"/>
    <s v="S"/>
    <x v="1"/>
    <s v="M"/>
    <x v="1"/>
    <n v="40000"/>
    <n v="2"/>
    <x v="0"/>
    <s v="Management"/>
    <x v="0"/>
    <n v="2"/>
    <x v="2"/>
    <x v="1"/>
    <n v="66"/>
    <x v="1"/>
    <s v="Yes"/>
    <x v="1"/>
  </r>
  <r>
    <n v="28918"/>
    <s v="M"/>
    <x v="0"/>
    <s v="F"/>
    <x v="0"/>
    <n v="130000"/>
    <n v="4"/>
    <x v="2"/>
    <s v="Management"/>
    <x v="1"/>
    <n v="4"/>
    <x v="4"/>
    <x v="0"/>
    <n v="58"/>
    <x v="1"/>
    <s v="No"/>
    <x v="0"/>
  </r>
  <r>
    <n v="15799"/>
    <s v="M"/>
    <x v="0"/>
    <s v="F"/>
    <x v="0"/>
    <n v="90000"/>
    <n v="1"/>
    <x v="0"/>
    <s v="Professional"/>
    <x v="0"/>
    <n v="1"/>
    <x v="1"/>
    <x v="1"/>
    <n v="47"/>
    <x v="0"/>
    <s v="Yes"/>
    <x v="1"/>
  </r>
  <r>
    <n v="11047"/>
    <s v="M"/>
    <x v="0"/>
    <s v="F"/>
    <x v="0"/>
    <n v="30000"/>
    <n v="3"/>
    <x v="2"/>
    <s v="Skilled Manual"/>
    <x v="1"/>
    <n v="2"/>
    <x v="3"/>
    <x v="1"/>
    <n v="56"/>
    <x v="1"/>
    <s v="Yes"/>
    <x v="1"/>
  </r>
  <r>
    <n v="18151"/>
    <s v="S"/>
    <x v="1"/>
    <s v="M"/>
    <x v="1"/>
    <n v="80000"/>
    <n v="5"/>
    <x v="1"/>
    <s v="Professional"/>
    <x v="1"/>
    <n v="2"/>
    <x v="4"/>
    <x v="0"/>
    <n v="59"/>
    <x v="1"/>
    <s v="No"/>
    <x v="0"/>
  </r>
  <r>
    <n v="20606"/>
    <s v="M"/>
    <x v="0"/>
    <s v="F"/>
    <x v="0"/>
    <n v="70000"/>
    <n v="0"/>
    <x v="0"/>
    <s v="Professional"/>
    <x v="0"/>
    <n v="4"/>
    <x v="4"/>
    <x v="1"/>
    <n v="32"/>
    <x v="0"/>
    <s v="Yes"/>
    <x v="1"/>
  </r>
  <r>
    <n v="19482"/>
    <s v="M"/>
    <x v="0"/>
    <s v="M"/>
    <x v="1"/>
    <n v="30000"/>
    <n v="1"/>
    <x v="1"/>
    <s v="Clerical"/>
    <x v="0"/>
    <n v="1"/>
    <x v="0"/>
    <x v="0"/>
    <n v="44"/>
    <x v="0"/>
    <s v="Yes"/>
    <x v="1"/>
  </r>
  <r>
    <n v="16489"/>
    <s v="M"/>
    <x v="0"/>
    <s v="M"/>
    <x v="1"/>
    <n v="30000"/>
    <n v="3"/>
    <x v="2"/>
    <s v="Skilled Manual"/>
    <x v="0"/>
    <n v="2"/>
    <x v="2"/>
    <x v="1"/>
    <n v="55"/>
    <x v="1"/>
    <s v="No"/>
    <x v="0"/>
  </r>
  <r>
    <n v="26944"/>
    <s v="S"/>
    <x v="1"/>
    <s v="M"/>
    <x v="1"/>
    <n v="90000"/>
    <n v="2"/>
    <x v="2"/>
    <s v="Manual"/>
    <x v="0"/>
    <n v="0"/>
    <x v="0"/>
    <x v="0"/>
    <n v="36"/>
    <x v="0"/>
    <s v="Yes"/>
    <x v="1"/>
  </r>
  <r>
    <n v="15682"/>
    <s v="S"/>
    <x v="1"/>
    <s v="F"/>
    <x v="0"/>
    <n v="80000"/>
    <n v="5"/>
    <x v="0"/>
    <s v="Management"/>
    <x v="0"/>
    <n v="2"/>
    <x v="4"/>
    <x v="0"/>
    <n v="62"/>
    <x v="1"/>
    <s v="No"/>
    <x v="0"/>
  </r>
  <r>
    <n v="26032"/>
    <s v="M"/>
    <x v="0"/>
    <s v="F"/>
    <x v="0"/>
    <n v="70000"/>
    <n v="5"/>
    <x v="0"/>
    <s v="Professional"/>
    <x v="0"/>
    <n v="4"/>
    <x v="4"/>
    <x v="1"/>
    <n v="41"/>
    <x v="0"/>
    <s v="No"/>
    <x v="0"/>
  </r>
  <r>
    <n v="17843"/>
    <s v="S"/>
    <x v="1"/>
    <s v="F"/>
    <x v="0"/>
    <n v="10000"/>
    <n v="0"/>
    <x v="3"/>
    <s v="Manual"/>
    <x v="1"/>
    <n v="2"/>
    <x v="0"/>
    <x v="0"/>
    <n v="32"/>
    <x v="0"/>
    <s v="No"/>
    <x v="0"/>
  </r>
  <r>
    <n v="25559"/>
    <s v="S"/>
    <x v="1"/>
    <s v="M"/>
    <x v="1"/>
    <n v="20000"/>
    <n v="0"/>
    <x v="0"/>
    <s v="Clerical"/>
    <x v="0"/>
    <n v="0"/>
    <x v="0"/>
    <x v="1"/>
    <n v="25"/>
    <x v="2"/>
    <s v="Yes"/>
    <x v="1"/>
  </r>
  <r>
    <n v="16209"/>
    <s v="S"/>
    <x v="1"/>
    <s v="F"/>
    <x v="0"/>
    <n v="50000"/>
    <n v="0"/>
    <x v="4"/>
    <s v="Skilled Manual"/>
    <x v="0"/>
    <n v="0"/>
    <x v="3"/>
    <x v="0"/>
    <n v="36"/>
    <x v="0"/>
    <s v="No"/>
    <x v="0"/>
  </r>
  <r>
    <n v="11147"/>
    <s v="M"/>
    <x v="0"/>
    <s v="M"/>
    <x v="1"/>
    <n v="60000"/>
    <n v="2"/>
    <x v="4"/>
    <s v="Management"/>
    <x v="0"/>
    <n v="1"/>
    <x v="0"/>
    <x v="1"/>
    <n v="67"/>
    <x v="1"/>
    <s v="Yes"/>
    <x v="1"/>
  </r>
  <r>
    <n v="15214"/>
    <s v="S"/>
    <x v="1"/>
    <s v="F"/>
    <x v="0"/>
    <n v="100000"/>
    <n v="0"/>
    <x v="4"/>
    <s v="Management"/>
    <x v="1"/>
    <n v="1"/>
    <x v="3"/>
    <x v="1"/>
    <n v="39"/>
    <x v="0"/>
    <s v="Yes"/>
    <x v="1"/>
  </r>
  <r>
    <n v="11453"/>
    <s v="S"/>
    <x v="1"/>
    <s v="M"/>
    <x v="1"/>
    <n v="80000"/>
    <n v="0"/>
    <x v="0"/>
    <s v="Professional"/>
    <x v="1"/>
    <n v="3"/>
    <x v="4"/>
    <x v="1"/>
    <n v="33"/>
    <x v="0"/>
    <s v="Yes"/>
    <x v="1"/>
  </r>
  <r>
    <n v="24584"/>
    <s v="S"/>
    <x v="1"/>
    <s v="M"/>
    <x v="1"/>
    <n v="60000"/>
    <n v="0"/>
    <x v="0"/>
    <s v="Professional"/>
    <x v="1"/>
    <n v="3"/>
    <x v="1"/>
    <x v="1"/>
    <n v="31"/>
    <x v="0"/>
    <s v="No"/>
    <x v="0"/>
  </r>
  <r>
    <n v="12585"/>
    <s v="M"/>
    <x v="0"/>
    <s v="M"/>
    <x v="1"/>
    <n v="10000"/>
    <n v="1"/>
    <x v="2"/>
    <s v="Manual"/>
    <x v="0"/>
    <n v="0"/>
    <x v="1"/>
    <x v="1"/>
    <n v="27"/>
    <x v="2"/>
    <s v="Yes"/>
    <x v="1"/>
  </r>
  <r>
    <n v="18626"/>
    <s v="S"/>
    <x v="1"/>
    <s v="M"/>
    <x v="1"/>
    <n v="40000"/>
    <n v="2"/>
    <x v="1"/>
    <s v="Clerical"/>
    <x v="0"/>
    <n v="0"/>
    <x v="3"/>
    <x v="0"/>
    <n v="33"/>
    <x v="0"/>
    <s v="Yes"/>
    <x v="1"/>
  </r>
  <r>
    <n v="29298"/>
    <s v="S"/>
    <x v="1"/>
    <s v="F"/>
    <x v="0"/>
    <n v="60000"/>
    <n v="1"/>
    <x v="1"/>
    <s v="Skilled Manual"/>
    <x v="0"/>
    <n v="1"/>
    <x v="2"/>
    <x v="1"/>
    <n v="46"/>
    <x v="0"/>
    <s v="Yes"/>
    <x v="1"/>
  </r>
  <r>
    <n v="24842"/>
    <s v="S"/>
    <x v="1"/>
    <s v="F"/>
    <x v="0"/>
    <n v="90000"/>
    <n v="3"/>
    <x v="2"/>
    <s v="Professional"/>
    <x v="1"/>
    <n v="1"/>
    <x v="1"/>
    <x v="0"/>
    <n v="51"/>
    <x v="0"/>
    <s v="No"/>
    <x v="0"/>
  </r>
  <r>
    <n v="15657"/>
    <s v="M"/>
    <x v="0"/>
    <s v="M"/>
    <x v="1"/>
    <n v="30000"/>
    <n v="3"/>
    <x v="4"/>
    <s v="Clerical"/>
    <x v="0"/>
    <n v="0"/>
    <x v="0"/>
    <x v="0"/>
    <n v="46"/>
    <x v="0"/>
    <s v="Yes"/>
    <x v="1"/>
  </r>
  <r>
    <n v="11415"/>
    <s v="S"/>
    <x v="1"/>
    <s v="M"/>
    <x v="1"/>
    <n v="90000"/>
    <n v="5"/>
    <x v="1"/>
    <s v="Professional"/>
    <x v="1"/>
    <n v="2"/>
    <x v="4"/>
    <x v="0"/>
    <n v="62"/>
    <x v="1"/>
    <s v="No"/>
    <x v="0"/>
  </r>
  <r>
    <n v="28729"/>
    <s v="S"/>
    <x v="1"/>
    <s v="F"/>
    <x v="0"/>
    <n v="20000"/>
    <n v="0"/>
    <x v="3"/>
    <s v="Manual"/>
    <x v="0"/>
    <n v="2"/>
    <x v="3"/>
    <x v="0"/>
    <n v="26"/>
    <x v="2"/>
    <s v="Yes"/>
    <x v="1"/>
  </r>
  <r>
    <n v="22633"/>
    <s v="S"/>
    <x v="1"/>
    <s v="F"/>
    <x v="0"/>
    <n v="40000"/>
    <n v="0"/>
    <x v="4"/>
    <s v="Clerical"/>
    <x v="0"/>
    <n v="0"/>
    <x v="0"/>
    <x v="0"/>
    <n v="37"/>
    <x v="0"/>
    <s v="Yes"/>
    <x v="1"/>
  </r>
  <r>
    <n v="25649"/>
    <s v="S"/>
    <x v="1"/>
    <s v="F"/>
    <x v="0"/>
    <n v="30000"/>
    <n v="3"/>
    <x v="1"/>
    <s v="Clerical"/>
    <x v="0"/>
    <n v="0"/>
    <x v="0"/>
    <x v="0"/>
    <n v="42"/>
    <x v="0"/>
    <s v="Yes"/>
    <x v="1"/>
  </r>
  <r>
    <n v="14669"/>
    <s v="M"/>
    <x v="0"/>
    <s v="F"/>
    <x v="0"/>
    <n v="80000"/>
    <n v="4"/>
    <x v="4"/>
    <s v="Management"/>
    <x v="0"/>
    <n v="1"/>
    <x v="0"/>
    <x v="1"/>
    <n v="36"/>
    <x v="0"/>
    <s v="No"/>
    <x v="0"/>
  </r>
  <r>
    <n v="19299"/>
    <s v="M"/>
    <x v="0"/>
    <s v="F"/>
    <x v="0"/>
    <n v="50000"/>
    <n v="0"/>
    <x v="4"/>
    <s v="Skilled Manual"/>
    <x v="0"/>
    <n v="0"/>
    <x v="0"/>
    <x v="0"/>
    <n v="36"/>
    <x v="0"/>
    <s v="Yes"/>
    <x v="1"/>
  </r>
  <r>
    <n v="20946"/>
    <s v="S"/>
    <x v="1"/>
    <s v="F"/>
    <x v="0"/>
    <n v="30000"/>
    <n v="0"/>
    <x v="1"/>
    <s v="Clerical"/>
    <x v="1"/>
    <n v="1"/>
    <x v="1"/>
    <x v="0"/>
    <n v="30"/>
    <x v="2"/>
    <s v="No"/>
    <x v="0"/>
  </r>
  <r>
    <n v="11451"/>
    <s v="S"/>
    <x v="1"/>
    <s v="M"/>
    <x v="1"/>
    <n v="70000"/>
    <n v="0"/>
    <x v="0"/>
    <s v="Professional"/>
    <x v="1"/>
    <n v="4"/>
    <x v="4"/>
    <x v="1"/>
    <n v="31"/>
    <x v="0"/>
    <s v="Yes"/>
    <x v="1"/>
  </r>
  <r>
    <n v="25553"/>
    <s v="M"/>
    <x v="0"/>
    <s v="M"/>
    <x v="1"/>
    <n v="30000"/>
    <n v="1"/>
    <x v="0"/>
    <s v="Clerical"/>
    <x v="0"/>
    <n v="0"/>
    <x v="0"/>
    <x v="0"/>
    <n v="65"/>
    <x v="1"/>
    <s v="Yes"/>
    <x v="1"/>
  </r>
  <r>
    <n v="27951"/>
    <s v="S"/>
    <x v="1"/>
    <s v="M"/>
    <x v="1"/>
    <n v="80000"/>
    <n v="4"/>
    <x v="1"/>
    <s v="Professional"/>
    <x v="1"/>
    <n v="2"/>
    <x v="1"/>
    <x v="0"/>
    <n v="54"/>
    <x v="0"/>
    <s v="Yes"/>
    <x v="1"/>
  </r>
  <r>
    <n v="25026"/>
    <s v="M"/>
    <x v="0"/>
    <s v="M"/>
    <x v="1"/>
    <n v="20000"/>
    <n v="2"/>
    <x v="3"/>
    <s v="Clerical"/>
    <x v="0"/>
    <n v="3"/>
    <x v="2"/>
    <x v="1"/>
    <n v="54"/>
    <x v="0"/>
    <s v="No"/>
    <x v="0"/>
  </r>
  <r>
    <n v="13673"/>
    <s v="S"/>
    <x v="1"/>
    <s v="F"/>
    <x v="0"/>
    <n v="20000"/>
    <n v="0"/>
    <x v="3"/>
    <s v="Manual"/>
    <x v="1"/>
    <n v="2"/>
    <x v="0"/>
    <x v="0"/>
    <n v="25"/>
    <x v="2"/>
    <s v="No"/>
    <x v="0"/>
  </r>
  <r>
    <n v="16043"/>
    <s v="S"/>
    <x v="1"/>
    <s v="M"/>
    <x v="1"/>
    <n v="10000"/>
    <n v="1"/>
    <x v="0"/>
    <s v="Manual"/>
    <x v="0"/>
    <n v="0"/>
    <x v="0"/>
    <x v="0"/>
    <n v="48"/>
    <x v="0"/>
    <s v="No"/>
    <x v="0"/>
  </r>
  <r>
    <n v="22399"/>
    <s v="S"/>
    <x v="1"/>
    <s v="M"/>
    <x v="1"/>
    <n v="10000"/>
    <n v="0"/>
    <x v="1"/>
    <s v="Manual"/>
    <x v="0"/>
    <n v="1"/>
    <x v="3"/>
    <x v="1"/>
    <n v="26"/>
    <x v="2"/>
    <s v="Yes"/>
    <x v="1"/>
  </r>
  <r>
    <n v="27696"/>
    <s v="M"/>
    <x v="0"/>
    <s v="M"/>
    <x v="1"/>
    <n v="60000"/>
    <n v="1"/>
    <x v="0"/>
    <s v="Professional"/>
    <x v="0"/>
    <n v="1"/>
    <x v="2"/>
    <x v="1"/>
    <n v="43"/>
    <x v="0"/>
    <s v="Yes"/>
    <x v="1"/>
  </r>
  <r>
    <n v="25313"/>
    <s v="S"/>
    <x v="1"/>
    <s v="M"/>
    <x v="1"/>
    <n v="10000"/>
    <n v="0"/>
    <x v="3"/>
    <s v="Manual"/>
    <x v="1"/>
    <n v="2"/>
    <x v="3"/>
    <x v="0"/>
    <n v="35"/>
    <x v="0"/>
    <s v="No"/>
    <x v="0"/>
  </r>
  <r>
    <n v="13813"/>
    <s v="M"/>
    <x v="0"/>
    <s v="F"/>
    <x v="0"/>
    <n v="30000"/>
    <n v="3"/>
    <x v="1"/>
    <s v="Clerical"/>
    <x v="1"/>
    <n v="0"/>
    <x v="0"/>
    <x v="0"/>
    <n v="42"/>
    <x v="0"/>
    <s v="No"/>
    <x v="0"/>
  </r>
  <r>
    <n v="18711"/>
    <s v="S"/>
    <x v="1"/>
    <s v="F"/>
    <x v="0"/>
    <n v="70000"/>
    <n v="5"/>
    <x v="0"/>
    <s v="Professional"/>
    <x v="0"/>
    <n v="4"/>
    <x v="4"/>
    <x v="1"/>
    <n v="39"/>
    <x v="0"/>
    <s v="No"/>
    <x v="0"/>
  </r>
  <r>
    <n v="19650"/>
    <s v="M"/>
    <x v="0"/>
    <s v="F"/>
    <x v="0"/>
    <n v="30000"/>
    <n v="2"/>
    <x v="1"/>
    <s v="Clerical"/>
    <x v="1"/>
    <n v="2"/>
    <x v="0"/>
    <x v="1"/>
    <n v="67"/>
    <x v="1"/>
    <s v="No"/>
    <x v="0"/>
  </r>
  <r>
    <n v="14135"/>
    <s v="M"/>
    <x v="0"/>
    <s v="M"/>
    <x v="1"/>
    <n v="20000"/>
    <n v="1"/>
    <x v="1"/>
    <s v="Manual"/>
    <x v="0"/>
    <n v="0"/>
    <x v="3"/>
    <x v="0"/>
    <n v="35"/>
    <x v="0"/>
    <s v="No"/>
    <x v="0"/>
  </r>
  <r>
    <n v="12833"/>
    <s v="S"/>
    <x v="1"/>
    <s v="F"/>
    <x v="0"/>
    <n v="20000"/>
    <n v="3"/>
    <x v="2"/>
    <s v="Manual"/>
    <x v="0"/>
    <n v="1"/>
    <x v="0"/>
    <x v="0"/>
    <n v="42"/>
    <x v="0"/>
    <s v="Yes"/>
    <x v="1"/>
  </r>
  <r>
    <n v="26849"/>
    <s v="M"/>
    <x v="0"/>
    <s v="M"/>
    <x v="1"/>
    <n v="10000"/>
    <n v="3"/>
    <x v="3"/>
    <s v="Manual"/>
    <x v="0"/>
    <n v="2"/>
    <x v="0"/>
    <x v="0"/>
    <n v="43"/>
    <x v="0"/>
    <s v="No"/>
    <x v="0"/>
  </r>
  <r>
    <n v="20962"/>
    <s v="M"/>
    <x v="0"/>
    <s v="F"/>
    <x v="0"/>
    <n v="20000"/>
    <n v="1"/>
    <x v="4"/>
    <s v="Clerical"/>
    <x v="0"/>
    <n v="0"/>
    <x v="0"/>
    <x v="0"/>
    <n v="45"/>
    <x v="0"/>
    <s v="No"/>
    <x v="0"/>
  </r>
  <r>
    <n v="28915"/>
    <s v="S"/>
    <x v="1"/>
    <s v="M"/>
    <x v="1"/>
    <n v="80000"/>
    <n v="5"/>
    <x v="2"/>
    <s v="Management"/>
    <x v="0"/>
    <n v="3"/>
    <x v="4"/>
    <x v="0"/>
    <n v="57"/>
    <x v="1"/>
    <s v="No"/>
    <x v="0"/>
  </r>
  <r>
    <n v="22830"/>
    <s v="M"/>
    <x v="0"/>
    <s v="M"/>
    <x v="1"/>
    <n v="120000"/>
    <n v="4"/>
    <x v="1"/>
    <s v="Management"/>
    <x v="0"/>
    <n v="3"/>
    <x v="4"/>
    <x v="0"/>
    <n v="56"/>
    <x v="1"/>
    <s v="No"/>
    <x v="0"/>
  </r>
  <r>
    <n v="14777"/>
    <s v="M"/>
    <x v="0"/>
    <s v="F"/>
    <x v="0"/>
    <n v="40000"/>
    <n v="0"/>
    <x v="0"/>
    <s v="Clerical"/>
    <x v="0"/>
    <n v="0"/>
    <x v="0"/>
    <x v="0"/>
    <n v="38"/>
    <x v="0"/>
    <s v="Yes"/>
    <x v="1"/>
  </r>
  <r>
    <n v="12591"/>
    <s v="M"/>
    <x v="0"/>
    <s v="F"/>
    <x v="0"/>
    <n v="30000"/>
    <n v="4"/>
    <x v="4"/>
    <s v="Clerical"/>
    <x v="0"/>
    <n v="0"/>
    <x v="0"/>
    <x v="0"/>
    <n v="45"/>
    <x v="0"/>
    <s v="No"/>
    <x v="0"/>
  </r>
  <r>
    <n v="24174"/>
    <s v="M"/>
    <x v="0"/>
    <s v="M"/>
    <x v="1"/>
    <n v="20000"/>
    <n v="0"/>
    <x v="0"/>
    <s v="Clerical"/>
    <x v="0"/>
    <n v="0"/>
    <x v="0"/>
    <x v="1"/>
    <n v="27"/>
    <x v="2"/>
    <s v="Yes"/>
    <x v="1"/>
  </r>
  <r>
    <n v="24611"/>
    <s v="S"/>
    <x v="1"/>
    <s v="M"/>
    <x v="1"/>
    <n v="90000"/>
    <n v="0"/>
    <x v="0"/>
    <s v="Professional"/>
    <x v="1"/>
    <n v="4"/>
    <x v="4"/>
    <x v="1"/>
    <n v="35"/>
    <x v="0"/>
    <s v="Yes"/>
    <x v="1"/>
  </r>
  <r>
    <n v="11340"/>
    <s v="M"/>
    <x v="0"/>
    <s v="F"/>
    <x v="0"/>
    <n v="10000"/>
    <n v="1"/>
    <x v="4"/>
    <s v="Clerical"/>
    <x v="0"/>
    <n v="0"/>
    <x v="0"/>
    <x v="0"/>
    <n v="70"/>
    <x v="1"/>
    <s v="Yes"/>
    <x v="1"/>
  </r>
  <r>
    <n v="25693"/>
    <s v="S"/>
    <x v="1"/>
    <s v="F"/>
    <x v="0"/>
    <n v="30000"/>
    <n v="5"/>
    <x v="4"/>
    <s v="Clerical"/>
    <x v="0"/>
    <n v="0"/>
    <x v="0"/>
    <x v="0"/>
    <n v="44"/>
    <x v="0"/>
    <s v="Yes"/>
    <x v="1"/>
  </r>
  <r>
    <n v="25555"/>
    <s v="M"/>
    <x v="0"/>
    <s v="F"/>
    <x v="0"/>
    <n v="10000"/>
    <n v="0"/>
    <x v="1"/>
    <s v="Manual"/>
    <x v="1"/>
    <n v="1"/>
    <x v="0"/>
    <x v="1"/>
    <n v="26"/>
    <x v="2"/>
    <s v="Yes"/>
    <x v="1"/>
  </r>
  <r>
    <n v="22006"/>
    <s v="M"/>
    <x v="0"/>
    <s v="M"/>
    <x v="1"/>
    <n v="70000"/>
    <n v="5"/>
    <x v="1"/>
    <s v="Skilled Manual"/>
    <x v="0"/>
    <n v="3"/>
    <x v="2"/>
    <x v="1"/>
    <n v="46"/>
    <x v="0"/>
    <s v="No"/>
    <x v="0"/>
  </r>
  <r>
    <n v="20060"/>
    <s v="S"/>
    <x v="1"/>
    <s v="F"/>
    <x v="0"/>
    <n v="30000"/>
    <n v="0"/>
    <x v="2"/>
    <s v="Manual"/>
    <x v="1"/>
    <n v="1"/>
    <x v="1"/>
    <x v="0"/>
    <n v="34"/>
    <x v="0"/>
    <s v="Yes"/>
    <x v="1"/>
  </r>
  <r>
    <n v="17702"/>
    <s v="M"/>
    <x v="0"/>
    <s v="M"/>
    <x v="1"/>
    <n v="10000"/>
    <n v="1"/>
    <x v="4"/>
    <s v="Manual"/>
    <x v="0"/>
    <n v="0"/>
    <x v="0"/>
    <x v="0"/>
    <n v="37"/>
    <x v="0"/>
    <s v="No"/>
    <x v="0"/>
  </r>
  <r>
    <n v="12503"/>
    <s v="S"/>
    <x v="1"/>
    <s v="F"/>
    <x v="0"/>
    <n v="30000"/>
    <n v="3"/>
    <x v="1"/>
    <s v="Clerical"/>
    <x v="0"/>
    <n v="2"/>
    <x v="0"/>
    <x v="0"/>
    <n v="27"/>
    <x v="2"/>
    <s v="No"/>
    <x v="0"/>
  </r>
  <r>
    <n v="23908"/>
    <s v="S"/>
    <x v="1"/>
    <s v="M"/>
    <x v="1"/>
    <n v="30000"/>
    <n v="1"/>
    <x v="0"/>
    <s v="Clerical"/>
    <x v="1"/>
    <n v="1"/>
    <x v="0"/>
    <x v="0"/>
    <n v="39"/>
    <x v="0"/>
    <s v="Yes"/>
    <x v="1"/>
  </r>
  <r>
    <n v="22527"/>
    <s v="S"/>
    <x v="1"/>
    <s v="F"/>
    <x v="0"/>
    <n v="20000"/>
    <n v="0"/>
    <x v="2"/>
    <s v="Manual"/>
    <x v="1"/>
    <n v="1"/>
    <x v="1"/>
    <x v="0"/>
    <n v="29"/>
    <x v="2"/>
    <s v="No"/>
    <x v="0"/>
  </r>
  <r>
    <n v="19057"/>
    <s v="M"/>
    <x v="0"/>
    <s v="F"/>
    <x v="0"/>
    <n v="120000"/>
    <n v="3"/>
    <x v="0"/>
    <s v="Management"/>
    <x v="1"/>
    <n v="2"/>
    <x v="4"/>
    <x v="0"/>
    <n v="52"/>
    <x v="0"/>
    <s v="Yes"/>
    <x v="1"/>
  </r>
  <r>
    <n v="18494"/>
    <s v="M"/>
    <x v="0"/>
    <s v="M"/>
    <x v="1"/>
    <n v="110000"/>
    <n v="5"/>
    <x v="0"/>
    <s v="Management"/>
    <x v="0"/>
    <n v="4"/>
    <x v="1"/>
    <x v="1"/>
    <n v="48"/>
    <x v="0"/>
    <s v="Yes"/>
    <x v="1"/>
  </r>
  <r>
    <n v="11249"/>
    <s v="M"/>
    <x v="0"/>
    <s v="F"/>
    <x v="0"/>
    <n v="130000"/>
    <n v="3"/>
    <x v="1"/>
    <s v="Professional"/>
    <x v="0"/>
    <n v="3"/>
    <x v="0"/>
    <x v="0"/>
    <n v="51"/>
    <x v="0"/>
    <s v="Yes"/>
    <x v="1"/>
  </r>
  <r>
    <n v="21568"/>
    <s v="M"/>
    <x v="0"/>
    <s v="F"/>
    <x v="0"/>
    <n v="100000"/>
    <n v="0"/>
    <x v="2"/>
    <s v="Management"/>
    <x v="0"/>
    <n v="4"/>
    <x v="4"/>
    <x v="1"/>
    <n v="34"/>
    <x v="0"/>
    <s v="Yes"/>
    <x v="1"/>
  </r>
  <r>
    <n v="13981"/>
    <s v="M"/>
    <x v="0"/>
    <s v="F"/>
    <x v="0"/>
    <n v="10000"/>
    <n v="5"/>
    <x v="2"/>
    <s v="Skilled Manual"/>
    <x v="1"/>
    <n v="3"/>
    <x v="3"/>
    <x v="1"/>
    <n v="62"/>
    <x v="1"/>
    <s v="No"/>
    <x v="0"/>
  </r>
  <r>
    <n v="23432"/>
    <s v="S"/>
    <x v="1"/>
    <s v="M"/>
    <x v="1"/>
    <n v="70000"/>
    <n v="0"/>
    <x v="0"/>
    <s v="Professional"/>
    <x v="0"/>
    <n v="1"/>
    <x v="2"/>
    <x v="1"/>
    <n v="37"/>
    <x v="0"/>
    <s v="Yes"/>
    <x v="1"/>
  </r>
  <r>
    <n v="22931"/>
    <s v="M"/>
    <x v="0"/>
    <s v="M"/>
    <x v="1"/>
    <n v="100000"/>
    <n v="5"/>
    <x v="4"/>
    <s v="Management"/>
    <x v="1"/>
    <n v="1"/>
    <x v="3"/>
    <x v="1"/>
    <n v="78"/>
    <x v="1"/>
    <s v="Yes"/>
    <x v="1"/>
  </r>
  <r>
    <n v="18172"/>
    <s v="M"/>
    <x v="0"/>
    <s v="M"/>
    <x v="1"/>
    <n v="130000"/>
    <n v="4"/>
    <x v="2"/>
    <s v="Professional"/>
    <x v="0"/>
    <n v="3"/>
    <x v="0"/>
    <x v="0"/>
    <n v="55"/>
    <x v="1"/>
    <s v="No"/>
    <x v="0"/>
  </r>
  <r>
    <n v="12666"/>
    <s v="S"/>
    <x v="1"/>
    <s v="M"/>
    <x v="1"/>
    <n v="60000"/>
    <n v="0"/>
    <x v="0"/>
    <s v="Professional"/>
    <x v="1"/>
    <n v="4"/>
    <x v="1"/>
    <x v="1"/>
    <n v="31"/>
    <x v="0"/>
    <s v="No"/>
    <x v="0"/>
  </r>
  <r>
    <n v="20598"/>
    <s v="M"/>
    <x v="0"/>
    <s v="M"/>
    <x v="1"/>
    <n v="100000"/>
    <n v="3"/>
    <x v="3"/>
    <s v="Professional"/>
    <x v="0"/>
    <n v="0"/>
    <x v="4"/>
    <x v="0"/>
    <n v="59"/>
    <x v="1"/>
    <s v="Yes"/>
    <x v="1"/>
  </r>
  <r>
    <n v="21375"/>
    <s v="S"/>
    <x v="1"/>
    <s v="M"/>
    <x v="1"/>
    <n v="20000"/>
    <n v="2"/>
    <x v="3"/>
    <s v="Clerical"/>
    <x v="0"/>
    <n v="2"/>
    <x v="2"/>
    <x v="1"/>
    <n v="57"/>
    <x v="1"/>
    <s v="No"/>
    <x v="0"/>
  </r>
  <r>
    <n v="20839"/>
    <s v="S"/>
    <x v="1"/>
    <s v="F"/>
    <x v="0"/>
    <n v="30000"/>
    <n v="3"/>
    <x v="4"/>
    <s v="Clerical"/>
    <x v="0"/>
    <n v="0"/>
    <x v="0"/>
    <x v="0"/>
    <n v="47"/>
    <x v="0"/>
    <s v="Yes"/>
    <x v="1"/>
  </r>
  <r>
    <n v="21738"/>
    <s v="M"/>
    <x v="0"/>
    <s v="M"/>
    <x v="1"/>
    <n v="20000"/>
    <n v="1"/>
    <x v="4"/>
    <s v="Clerical"/>
    <x v="0"/>
    <n v="0"/>
    <x v="0"/>
    <x v="0"/>
    <n v="43"/>
    <x v="0"/>
    <s v="No"/>
    <x v="0"/>
  </r>
  <r>
    <n v="14164"/>
    <s v="S"/>
    <x v="1"/>
    <s v="F"/>
    <x v="0"/>
    <n v="50000"/>
    <n v="0"/>
    <x v="4"/>
    <s v="Skilled Manual"/>
    <x v="0"/>
    <n v="0"/>
    <x v="0"/>
    <x v="0"/>
    <n v="36"/>
    <x v="0"/>
    <s v="Yes"/>
    <x v="1"/>
  </r>
  <r>
    <n v="14193"/>
    <s v="S"/>
    <x v="1"/>
    <s v="F"/>
    <x v="0"/>
    <n v="100000"/>
    <n v="3"/>
    <x v="1"/>
    <s v="Management"/>
    <x v="0"/>
    <n v="4"/>
    <x v="4"/>
    <x v="0"/>
    <n v="56"/>
    <x v="1"/>
    <s v="No"/>
    <x v="0"/>
  </r>
  <r>
    <n v="12705"/>
    <s v="M"/>
    <x v="0"/>
    <s v="M"/>
    <x v="1"/>
    <n v="150000"/>
    <n v="0"/>
    <x v="0"/>
    <s v="Management"/>
    <x v="0"/>
    <n v="4"/>
    <x v="0"/>
    <x v="1"/>
    <n v="37"/>
    <x v="0"/>
    <s v="Yes"/>
    <x v="1"/>
  </r>
  <r>
    <n v="22672"/>
    <s v="S"/>
    <x v="1"/>
    <s v="F"/>
    <x v="0"/>
    <n v="30000"/>
    <n v="2"/>
    <x v="1"/>
    <s v="Clerical"/>
    <x v="0"/>
    <n v="0"/>
    <x v="0"/>
    <x v="0"/>
    <n v="43"/>
    <x v="0"/>
    <s v="No"/>
    <x v="0"/>
  </r>
  <r>
    <n v="26219"/>
    <s v="M"/>
    <x v="0"/>
    <s v="F"/>
    <x v="0"/>
    <n v="40000"/>
    <n v="1"/>
    <x v="0"/>
    <s v="Skilled Manual"/>
    <x v="0"/>
    <n v="1"/>
    <x v="3"/>
    <x v="0"/>
    <n v="33"/>
    <x v="0"/>
    <s v="Yes"/>
    <x v="1"/>
  </r>
  <r>
    <n v="28468"/>
    <s v="M"/>
    <x v="0"/>
    <s v="F"/>
    <x v="0"/>
    <n v="10000"/>
    <n v="2"/>
    <x v="1"/>
    <s v="Manual"/>
    <x v="0"/>
    <n v="0"/>
    <x v="3"/>
    <x v="0"/>
    <n v="51"/>
    <x v="0"/>
    <s v="No"/>
    <x v="0"/>
  </r>
  <r>
    <n v="23419"/>
    <s v="S"/>
    <x v="1"/>
    <s v="F"/>
    <x v="0"/>
    <n v="70000"/>
    <n v="5"/>
    <x v="0"/>
    <s v="Professional"/>
    <x v="0"/>
    <n v="3"/>
    <x v="4"/>
    <x v="1"/>
    <n v="39"/>
    <x v="0"/>
    <s v="No"/>
    <x v="0"/>
  </r>
  <r>
    <n v="17964"/>
    <s v="M"/>
    <x v="0"/>
    <s v="M"/>
    <x v="1"/>
    <n v="40000"/>
    <n v="0"/>
    <x v="4"/>
    <s v="Clerical"/>
    <x v="0"/>
    <n v="0"/>
    <x v="0"/>
    <x v="0"/>
    <n v="37"/>
    <x v="0"/>
    <s v="Yes"/>
    <x v="1"/>
  </r>
  <r>
    <n v="20919"/>
    <s v="S"/>
    <x v="1"/>
    <s v="F"/>
    <x v="0"/>
    <n v="30000"/>
    <n v="2"/>
    <x v="1"/>
    <s v="Clerical"/>
    <x v="0"/>
    <n v="2"/>
    <x v="0"/>
    <x v="0"/>
    <n v="42"/>
    <x v="0"/>
    <s v="No"/>
    <x v="0"/>
  </r>
  <r>
    <n v="20927"/>
    <s v="S"/>
    <x v="1"/>
    <s v="F"/>
    <x v="0"/>
    <n v="20000"/>
    <n v="5"/>
    <x v="2"/>
    <s v="Manual"/>
    <x v="0"/>
    <n v="2"/>
    <x v="0"/>
    <x v="0"/>
    <n v="27"/>
    <x v="2"/>
    <s v="No"/>
    <x v="0"/>
  </r>
  <r>
    <n v="13133"/>
    <s v="S"/>
    <x v="1"/>
    <s v="M"/>
    <x v="1"/>
    <n v="100000"/>
    <n v="5"/>
    <x v="0"/>
    <s v="Professional"/>
    <x v="0"/>
    <n v="1"/>
    <x v="2"/>
    <x v="1"/>
    <n v="47"/>
    <x v="0"/>
    <s v="Yes"/>
    <x v="1"/>
  </r>
  <r>
    <n v="19626"/>
    <s v="M"/>
    <x v="0"/>
    <s v="M"/>
    <x v="1"/>
    <n v="70000"/>
    <n v="5"/>
    <x v="1"/>
    <s v="Skilled Manual"/>
    <x v="0"/>
    <n v="3"/>
    <x v="2"/>
    <x v="1"/>
    <n v="45"/>
    <x v="0"/>
    <s v="No"/>
    <x v="0"/>
  </r>
  <r>
    <n v="21039"/>
    <s v="S"/>
    <x v="1"/>
    <s v="F"/>
    <x v="0"/>
    <n v="50000"/>
    <n v="0"/>
    <x v="4"/>
    <s v="Skilled Manual"/>
    <x v="1"/>
    <n v="0"/>
    <x v="0"/>
    <x v="0"/>
    <n v="37"/>
    <x v="0"/>
    <s v="Yes"/>
    <x v="1"/>
  </r>
  <r>
    <n v="12231"/>
    <s v="S"/>
    <x v="1"/>
    <s v="F"/>
    <x v="0"/>
    <n v="10000"/>
    <n v="2"/>
    <x v="1"/>
    <s v="Manual"/>
    <x v="0"/>
    <n v="0"/>
    <x v="0"/>
    <x v="0"/>
    <n v="51"/>
    <x v="0"/>
    <s v="Yes"/>
    <x v="1"/>
  </r>
  <r>
    <n v="25665"/>
    <s v="S"/>
    <x v="1"/>
    <s v="F"/>
    <x v="0"/>
    <n v="20000"/>
    <n v="0"/>
    <x v="2"/>
    <s v="Manual"/>
    <x v="1"/>
    <n v="1"/>
    <x v="3"/>
    <x v="0"/>
    <n v="28"/>
    <x v="2"/>
    <s v="No"/>
    <x v="0"/>
  </r>
  <r>
    <n v="24061"/>
    <s v="M"/>
    <x v="0"/>
    <s v="M"/>
    <x v="1"/>
    <n v="10000"/>
    <n v="4"/>
    <x v="3"/>
    <s v="Manual"/>
    <x v="0"/>
    <n v="1"/>
    <x v="0"/>
    <x v="0"/>
    <n v="40"/>
    <x v="0"/>
    <s v="Yes"/>
    <x v="1"/>
  </r>
  <r>
    <n v="26879"/>
    <s v="S"/>
    <x v="1"/>
    <s v="F"/>
    <x v="0"/>
    <n v="20000"/>
    <n v="0"/>
    <x v="2"/>
    <s v="Manual"/>
    <x v="1"/>
    <n v="1"/>
    <x v="1"/>
    <x v="0"/>
    <n v="30"/>
    <x v="2"/>
    <s v="No"/>
    <x v="0"/>
  </r>
  <r>
    <n v="12284"/>
    <s v="M"/>
    <x v="0"/>
    <s v="F"/>
    <x v="0"/>
    <n v="30000"/>
    <n v="0"/>
    <x v="0"/>
    <s v="Clerical"/>
    <x v="1"/>
    <n v="0"/>
    <x v="0"/>
    <x v="0"/>
    <n v="36"/>
    <x v="0"/>
    <s v="Yes"/>
    <x v="1"/>
  </r>
  <r>
    <n v="26654"/>
    <s v="M"/>
    <x v="0"/>
    <s v="F"/>
    <x v="0"/>
    <n v="90000"/>
    <n v="1"/>
    <x v="4"/>
    <s v="Management"/>
    <x v="0"/>
    <n v="0"/>
    <x v="0"/>
    <x v="1"/>
    <n v="37"/>
    <x v="0"/>
    <s v="Yes"/>
    <x v="1"/>
  </r>
  <r>
    <n v="14545"/>
    <s v="M"/>
    <x v="0"/>
    <s v="F"/>
    <x v="0"/>
    <n v="10000"/>
    <n v="2"/>
    <x v="1"/>
    <s v="Manual"/>
    <x v="0"/>
    <n v="0"/>
    <x v="3"/>
    <x v="0"/>
    <n v="49"/>
    <x v="0"/>
    <s v="No"/>
    <x v="0"/>
  </r>
  <r>
    <n v="24201"/>
    <s v="M"/>
    <x v="0"/>
    <s v="F"/>
    <x v="0"/>
    <n v="10000"/>
    <n v="2"/>
    <x v="2"/>
    <s v="Manual"/>
    <x v="0"/>
    <n v="0"/>
    <x v="0"/>
    <x v="0"/>
    <n v="37"/>
    <x v="0"/>
    <s v="Yes"/>
    <x v="1"/>
  </r>
  <r>
    <n v="20625"/>
    <s v="M"/>
    <x v="0"/>
    <s v="M"/>
    <x v="1"/>
    <n v="100000"/>
    <n v="0"/>
    <x v="2"/>
    <s v="Management"/>
    <x v="0"/>
    <n v="3"/>
    <x v="4"/>
    <x v="1"/>
    <n v="35"/>
    <x v="0"/>
    <s v="Yes"/>
    <x v="1"/>
  </r>
  <r>
    <n v="16390"/>
    <s v="S"/>
    <x v="1"/>
    <s v="M"/>
    <x v="1"/>
    <n v="30000"/>
    <n v="1"/>
    <x v="0"/>
    <s v="Clerical"/>
    <x v="1"/>
    <n v="0"/>
    <x v="0"/>
    <x v="0"/>
    <n v="38"/>
    <x v="0"/>
    <s v="Yes"/>
    <x v="1"/>
  </r>
  <r>
    <n v="14804"/>
    <s v="S"/>
    <x v="1"/>
    <s v="F"/>
    <x v="0"/>
    <n v="10000"/>
    <n v="3"/>
    <x v="3"/>
    <s v="Manual"/>
    <x v="0"/>
    <n v="2"/>
    <x v="0"/>
    <x v="0"/>
    <n v="43"/>
    <x v="0"/>
    <s v="No"/>
    <x v="0"/>
  </r>
  <r>
    <n v="12629"/>
    <s v="S"/>
    <x v="1"/>
    <s v="M"/>
    <x v="1"/>
    <n v="20000"/>
    <n v="1"/>
    <x v="1"/>
    <s v="Manual"/>
    <x v="1"/>
    <n v="0"/>
    <x v="0"/>
    <x v="0"/>
    <n v="37"/>
    <x v="0"/>
    <s v="No"/>
    <x v="0"/>
  </r>
  <r>
    <n v="14696"/>
    <s v="S"/>
    <x v="1"/>
    <s v="M"/>
    <x v="1"/>
    <n v="10000"/>
    <n v="0"/>
    <x v="3"/>
    <s v="Manual"/>
    <x v="1"/>
    <n v="2"/>
    <x v="0"/>
    <x v="0"/>
    <n v="34"/>
    <x v="0"/>
    <s v="No"/>
    <x v="0"/>
  </r>
  <r>
    <n v="22005"/>
    <s v="M"/>
    <x v="0"/>
    <s v="F"/>
    <x v="0"/>
    <n v="70000"/>
    <n v="5"/>
    <x v="1"/>
    <s v="Skilled Manual"/>
    <x v="1"/>
    <n v="3"/>
    <x v="2"/>
    <x v="1"/>
    <n v="46"/>
    <x v="0"/>
    <s v="No"/>
    <x v="0"/>
  </r>
  <r>
    <n v="14544"/>
    <s v="S"/>
    <x v="1"/>
    <s v="M"/>
    <x v="1"/>
    <n v="10000"/>
    <n v="1"/>
    <x v="1"/>
    <s v="Manual"/>
    <x v="0"/>
    <n v="0"/>
    <x v="0"/>
    <x v="0"/>
    <n v="49"/>
    <x v="0"/>
    <s v="No"/>
    <x v="0"/>
  </r>
  <r>
    <n v="14312"/>
    <s v="M"/>
    <x v="0"/>
    <s v="F"/>
    <x v="0"/>
    <n v="60000"/>
    <n v="1"/>
    <x v="1"/>
    <s v="Skilled Manual"/>
    <x v="0"/>
    <n v="1"/>
    <x v="2"/>
    <x v="1"/>
    <n v="45"/>
    <x v="0"/>
    <s v="No"/>
    <x v="0"/>
  </r>
  <r>
    <n v="29120"/>
    <s v="S"/>
    <x v="1"/>
    <s v="F"/>
    <x v="0"/>
    <n v="100000"/>
    <n v="1"/>
    <x v="0"/>
    <s v="Management"/>
    <x v="0"/>
    <n v="4"/>
    <x v="1"/>
    <x v="1"/>
    <n v="48"/>
    <x v="0"/>
    <s v="No"/>
    <x v="0"/>
  </r>
  <r>
    <n v="24187"/>
    <s v="S"/>
    <x v="1"/>
    <s v="F"/>
    <x v="0"/>
    <n v="30000"/>
    <n v="3"/>
    <x v="4"/>
    <s v="Clerical"/>
    <x v="1"/>
    <n v="0"/>
    <x v="0"/>
    <x v="0"/>
    <n v="46"/>
    <x v="0"/>
    <s v="Yes"/>
    <x v="1"/>
  </r>
  <r>
    <n v="15758"/>
    <s v="M"/>
    <x v="0"/>
    <s v="M"/>
    <x v="1"/>
    <n v="130000"/>
    <n v="0"/>
    <x v="4"/>
    <s v="Management"/>
    <x v="0"/>
    <n v="0"/>
    <x v="2"/>
    <x v="1"/>
    <n v="48"/>
    <x v="0"/>
    <s v="No"/>
    <x v="0"/>
  </r>
  <r>
    <n v="29094"/>
    <s v="M"/>
    <x v="0"/>
    <s v="M"/>
    <x v="1"/>
    <n v="30000"/>
    <n v="3"/>
    <x v="2"/>
    <s v="Skilled Manual"/>
    <x v="0"/>
    <n v="2"/>
    <x v="2"/>
    <x v="1"/>
    <n v="54"/>
    <x v="0"/>
    <s v="Yes"/>
    <x v="1"/>
  </r>
  <r>
    <n v="28319"/>
    <s v="S"/>
    <x v="1"/>
    <s v="F"/>
    <x v="0"/>
    <n v="60000"/>
    <n v="1"/>
    <x v="1"/>
    <s v="Skilled Manual"/>
    <x v="1"/>
    <n v="1"/>
    <x v="0"/>
    <x v="1"/>
    <n v="46"/>
    <x v="0"/>
    <s v="Yes"/>
    <x v="1"/>
  </r>
  <r>
    <n v="16406"/>
    <s v="M"/>
    <x v="0"/>
    <s v="M"/>
    <x v="1"/>
    <n v="40000"/>
    <n v="0"/>
    <x v="0"/>
    <s v="Clerical"/>
    <x v="1"/>
    <n v="0"/>
    <x v="0"/>
    <x v="0"/>
    <n v="38"/>
    <x v="0"/>
    <s v="Yes"/>
    <x v="1"/>
  </r>
  <r>
    <n v="20923"/>
    <s v="M"/>
    <x v="0"/>
    <s v="F"/>
    <x v="0"/>
    <n v="40000"/>
    <n v="1"/>
    <x v="0"/>
    <s v="Skilled Manual"/>
    <x v="0"/>
    <n v="0"/>
    <x v="0"/>
    <x v="0"/>
    <n v="42"/>
    <x v="0"/>
    <s v="Yes"/>
    <x v="1"/>
  </r>
  <r>
    <n v="11378"/>
    <s v="S"/>
    <x v="1"/>
    <s v="F"/>
    <x v="0"/>
    <n v="10000"/>
    <n v="1"/>
    <x v="2"/>
    <s v="Manual"/>
    <x v="1"/>
    <n v="1"/>
    <x v="1"/>
    <x v="0"/>
    <n v="46"/>
    <x v="0"/>
    <s v="Yes"/>
    <x v="1"/>
  </r>
  <r>
    <n v="20851"/>
    <s v="S"/>
    <x v="1"/>
    <s v="M"/>
    <x v="1"/>
    <n v="20000"/>
    <n v="0"/>
    <x v="1"/>
    <s v="Manual"/>
    <x v="1"/>
    <n v="1"/>
    <x v="1"/>
    <x v="0"/>
    <n v="36"/>
    <x v="0"/>
    <s v="Yes"/>
    <x v="1"/>
  </r>
  <r>
    <n v="21557"/>
    <s v="S"/>
    <x v="1"/>
    <s v="F"/>
    <x v="0"/>
    <n v="110000"/>
    <n v="0"/>
    <x v="1"/>
    <s v="Management"/>
    <x v="0"/>
    <n v="3"/>
    <x v="4"/>
    <x v="1"/>
    <n v="32"/>
    <x v="0"/>
    <s v="Yes"/>
    <x v="1"/>
  </r>
  <r>
    <n v="26663"/>
    <s v="S"/>
    <x v="1"/>
    <s v="F"/>
    <x v="0"/>
    <n v="60000"/>
    <n v="2"/>
    <x v="0"/>
    <s v="Professional"/>
    <x v="1"/>
    <n v="1"/>
    <x v="0"/>
    <x v="1"/>
    <n v="39"/>
    <x v="0"/>
    <s v="Yes"/>
    <x v="1"/>
  </r>
  <r>
    <n v="11896"/>
    <s v="M"/>
    <x v="0"/>
    <s v="M"/>
    <x v="1"/>
    <n v="100000"/>
    <n v="1"/>
    <x v="4"/>
    <s v="Management"/>
    <x v="0"/>
    <n v="0"/>
    <x v="1"/>
    <x v="1"/>
    <n v="36"/>
    <x v="0"/>
    <s v="Yes"/>
    <x v="1"/>
  </r>
  <r>
    <n v="14189"/>
    <s v="M"/>
    <x v="0"/>
    <s v="F"/>
    <x v="0"/>
    <n v="90000"/>
    <n v="4"/>
    <x v="2"/>
    <s v="Professional"/>
    <x v="1"/>
    <n v="2"/>
    <x v="1"/>
    <x v="0"/>
    <n v="54"/>
    <x v="0"/>
    <s v="Yes"/>
    <x v="1"/>
  </r>
  <r>
    <n v="13136"/>
    <s v="M"/>
    <x v="0"/>
    <s v="F"/>
    <x v="0"/>
    <n v="30000"/>
    <n v="2"/>
    <x v="1"/>
    <s v="Clerical"/>
    <x v="1"/>
    <n v="2"/>
    <x v="2"/>
    <x v="1"/>
    <n v="69"/>
    <x v="1"/>
    <s v="No"/>
    <x v="0"/>
  </r>
  <r>
    <n v="25906"/>
    <s v="S"/>
    <x v="1"/>
    <s v="F"/>
    <x v="0"/>
    <n v="10000"/>
    <n v="5"/>
    <x v="2"/>
    <s v="Skilled Manual"/>
    <x v="1"/>
    <n v="2"/>
    <x v="3"/>
    <x v="1"/>
    <n v="62"/>
    <x v="1"/>
    <s v="No"/>
    <x v="0"/>
  </r>
  <r>
    <n v="17926"/>
    <s v="S"/>
    <x v="1"/>
    <s v="F"/>
    <x v="0"/>
    <n v="40000"/>
    <n v="0"/>
    <x v="0"/>
    <s v="Clerical"/>
    <x v="1"/>
    <n v="0"/>
    <x v="0"/>
    <x v="1"/>
    <n v="28"/>
    <x v="2"/>
    <s v="Yes"/>
    <x v="1"/>
  </r>
  <r>
    <n v="26928"/>
    <s v="S"/>
    <x v="1"/>
    <s v="M"/>
    <x v="1"/>
    <n v="30000"/>
    <n v="1"/>
    <x v="0"/>
    <s v="Clerical"/>
    <x v="0"/>
    <n v="0"/>
    <x v="0"/>
    <x v="0"/>
    <n v="62"/>
    <x v="1"/>
    <s v="Yes"/>
    <x v="1"/>
  </r>
  <r>
    <n v="20897"/>
    <s v="M"/>
    <x v="0"/>
    <s v="F"/>
    <x v="0"/>
    <n v="30000"/>
    <n v="1"/>
    <x v="0"/>
    <s v="Skilled Manual"/>
    <x v="0"/>
    <n v="2"/>
    <x v="0"/>
    <x v="0"/>
    <n v="40"/>
    <x v="0"/>
    <s v="No"/>
    <x v="0"/>
  </r>
  <r>
    <n v="28207"/>
    <s v="M"/>
    <x v="0"/>
    <s v="M"/>
    <x v="1"/>
    <n v="80000"/>
    <n v="4"/>
    <x v="4"/>
    <s v="Management"/>
    <x v="0"/>
    <n v="1"/>
    <x v="0"/>
    <x v="1"/>
    <n v="36"/>
    <x v="0"/>
    <s v="Yes"/>
    <x v="1"/>
  </r>
  <r>
    <n v="25923"/>
    <s v="S"/>
    <x v="1"/>
    <s v="M"/>
    <x v="1"/>
    <n v="10000"/>
    <n v="2"/>
    <x v="3"/>
    <s v="Clerical"/>
    <x v="0"/>
    <n v="2"/>
    <x v="2"/>
    <x v="1"/>
    <n v="58"/>
    <x v="1"/>
    <s v="No"/>
    <x v="0"/>
  </r>
  <r>
    <n v="11000"/>
    <s v="M"/>
    <x v="0"/>
    <s v="M"/>
    <x v="1"/>
    <n v="90000"/>
    <n v="2"/>
    <x v="0"/>
    <s v="Professional"/>
    <x v="0"/>
    <n v="0"/>
    <x v="3"/>
    <x v="1"/>
    <n v="40"/>
    <x v="0"/>
    <s v="Yes"/>
    <x v="1"/>
  </r>
  <r>
    <n v="20974"/>
    <s v="M"/>
    <x v="0"/>
    <s v="M"/>
    <x v="1"/>
    <n v="10000"/>
    <n v="2"/>
    <x v="0"/>
    <s v="Clerical"/>
    <x v="0"/>
    <n v="1"/>
    <x v="0"/>
    <x v="0"/>
    <n v="66"/>
    <x v="1"/>
    <s v="No"/>
    <x v="0"/>
  </r>
  <r>
    <n v="28758"/>
    <s v="M"/>
    <x v="0"/>
    <s v="M"/>
    <x v="1"/>
    <n v="40000"/>
    <n v="2"/>
    <x v="1"/>
    <s v="Clerical"/>
    <x v="0"/>
    <n v="1"/>
    <x v="3"/>
    <x v="0"/>
    <n v="35"/>
    <x v="0"/>
    <s v="Yes"/>
    <x v="1"/>
  </r>
  <r>
    <n v="11381"/>
    <s v="M"/>
    <x v="0"/>
    <s v="F"/>
    <x v="0"/>
    <n v="20000"/>
    <n v="2"/>
    <x v="1"/>
    <s v="Manual"/>
    <x v="0"/>
    <n v="1"/>
    <x v="1"/>
    <x v="0"/>
    <n v="47"/>
    <x v="0"/>
    <s v="Yes"/>
    <x v="1"/>
  </r>
  <r>
    <n v="17522"/>
    <s v="M"/>
    <x v="0"/>
    <s v="M"/>
    <x v="1"/>
    <n v="120000"/>
    <n v="4"/>
    <x v="0"/>
    <s v="Management"/>
    <x v="0"/>
    <n v="1"/>
    <x v="1"/>
    <x v="1"/>
    <n v="47"/>
    <x v="0"/>
    <s v="No"/>
    <x v="0"/>
  </r>
  <r>
    <n v="21207"/>
    <s v="M"/>
    <x v="0"/>
    <s v="M"/>
    <x v="1"/>
    <n v="60000"/>
    <n v="1"/>
    <x v="1"/>
    <s v="Skilled Manual"/>
    <x v="0"/>
    <n v="1"/>
    <x v="2"/>
    <x v="1"/>
    <n v="46"/>
    <x v="0"/>
    <s v="No"/>
    <x v="0"/>
  </r>
  <r>
    <n v="28102"/>
    <s v="M"/>
    <x v="0"/>
    <s v="M"/>
    <x v="1"/>
    <n v="20000"/>
    <n v="4"/>
    <x v="2"/>
    <s v="Skilled Manual"/>
    <x v="0"/>
    <n v="2"/>
    <x v="2"/>
    <x v="1"/>
    <n v="58"/>
    <x v="1"/>
    <s v="Yes"/>
    <x v="1"/>
  </r>
  <r>
    <n v="23105"/>
    <s v="S"/>
    <x v="1"/>
    <s v="M"/>
    <x v="1"/>
    <n v="40000"/>
    <n v="3"/>
    <x v="3"/>
    <s v="Clerical"/>
    <x v="1"/>
    <n v="2"/>
    <x v="2"/>
    <x v="1"/>
    <n v="52"/>
    <x v="0"/>
    <s v="Yes"/>
    <x v="1"/>
  </r>
  <r>
    <n v="18740"/>
    <s v="M"/>
    <x v="0"/>
    <s v="M"/>
    <x v="1"/>
    <n v="80000"/>
    <n v="5"/>
    <x v="0"/>
    <s v="Professional"/>
    <x v="1"/>
    <n v="1"/>
    <x v="0"/>
    <x v="1"/>
    <n v="47"/>
    <x v="0"/>
    <s v="Yes"/>
    <x v="1"/>
  </r>
  <r>
    <n v="21213"/>
    <s v="S"/>
    <x v="1"/>
    <s v="M"/>
    <x v="1"/>
    <n v="70000"/>
    <n v="0"/>
    <x v="0"/>
    <s v="Professional"/>
    <x v="1"/>
    <n v="1"/>
    <x v="2"/>
    <x v="1"/>
    <n v="41"/>
    <x v="0"/>
    <s v="No"/>
    <x v="0"/>
  </r>
  <r>
    <n v="17352"/>
    <s v="M"/>
    <x v="0"/>
    <s v="M"/>
    <x v="1"/>
    <n v="50000"/>
    <n v="2"/>
    <x v="4"/>
    <s v="Management"/>
    <x v="0"/>
    <n v="1"/>
    <x v="2"/>
    <x v="1"/>
    <n v="64"/>
    <x v="1"/>
    <s v="Yes"/>
    <x v="1"/>
  </r>
  <r>
    <n v="14154"/>
    <s v="M"/>
    <x v="0"/>
    <s v="M"/>
    <x v="1"/>
    <n v="30000"/>
    <n v="0"/>
    <x v="0"/>
    <s v="Clerical"/>
    <x v="0"/>
    <n v="0"/>
    <x v="0"/>
    <x v="0"/>
    <n v="35"/>
    <x v="0"/>
    <s v="Yes"/>
    <x v="1"/>
  </r>
  <r>
    <n v="19066"/>
    <s v="M"/>
    <x v="0"/>
    <s v="M"/>
    <x v="1"/>
    <n v="130000"/>
    <n v="4"/>
    <x v="1"/>
    <s v="Professional"/>
    <x v="1"/>
    <n v="3"/>
    <x v="4"/>
    <x v="0"/>
    <n v="54"/>
    <x v="0"/>
    <s v="No"/>
    <x v="0"/>
  </r>
  <r>
    <n v="11386"/>
    <s v="M"/>
    <x v="0"/>
    <s v="F"/>
    <x v="0"/>
    <n v="30000"/>
    <n v="3"/>
    <x v="0"/>
    <s v="Clerical"/>
    <x v="0"/>
    <n v="0"/>
    <x v="0"/>
    <x v="0"/>
    <n v="45"/>
    <x v="0"/>
    <s v="No"/>
    <x v="0"/>
  </r>
  <r>
    <n v="20228"/>
    <s v="M"/>
    <x v="0"/>
    <s v="M"/>
    <x v="1"/>
    <n v="100000"/>
    <n v="0"/>
    <x v="4"/>
    <s v="Management"/>
    <x v="0"/>
    <n v="0"/>
    <x v="1"/>
    <x v="1"/>
    <n v="40"/>
    <x v="0"/>
    <s v="Yes"/>
    <x v="1"/>
  </r>
  <r>
    <n v="16675"/>
    <s v="S"/>
    <x v="1"/>
    <s v="F"/>
    <x v="0"/>
    <n v="160000"/>
    <n v="0"/>
    <x v="4"/>
    <s v="Management"/>
    <x v="1"/>
    <n v="3"/>
    <x v="0"/>
    <x v="1"/>
    <n v="47"/>
    <x v="0"/>
    <s v="Yes"/>
    <x v="1"/>
  </r>
  <r>
    <n v="16410"/>
    <s v="S"/>
    <x v="1"/>
    <s v="F"/>
    <x v="0"/>
    <n v="10000"/>
    <n v="4"/>
    <x v="3"/>
    <s v="Manual"/>
    <x v="0"/>
    <n v="2"/>
    <x v="0"/>
    <x v="0"/>
    <n v="41"/>
    <x v="0"/>
    <s v="Yes"/>
    <x v="1"/>
  </r>
  <r>
    <n v="27760"/>
    <s v="S"/>
    <x v="1"/>
    <s v="F"/>
    <x v="0"/>
    <n v="40000"/>
    <n v="0"/>
    <x v="4"/>
    <s v="Clerical"/>
    <x v="1"/>
    <n v="0"/>
    <x v="0"/>
    <x v="0"/>
    <n v="37"/>
    <x v="0"/>
    <s v="Yes"/>
    <x v="1"/>
  </r>
  <r>
    <n v="22930"/>
    <s v="M"/>
    <x v="0"/>
    <s v="M"/>
    <x v="1"/>
    <n v="90000"/>
    <n v="4"/>
    <x v="0"/>
    <s v="Professional"/>
    <x v="0"/>
    <n v="0"/>
    <x v="3"/>
    <x v="1"/>
    <n v="38"/>
    <x v="0"/>
    <s v="Yes"/>
    <x v="1"/>
  </r>
  <r>
    <n v="23780"/>
    <s v="S"/>
    <x v="1"/>
    <s v="M"/>
    <x v="1"/>
    <n v="40000"/>
    <n v="2"/>
    <x v="1"/>
    <s v="Clerical"/>
    <x v="1"/>
    <n v="2"/>
    <x v="0"/>
    <x v="0"/>
    <n v="36"/>
    <x v="0"/>
    <s v="Yes"/>
    <x v="1"/>
  </r>
  <r>
    <n v="20994"/>
    <s v="M"/>
    <x v="0"/>
    <s v="F"/>
    <x v="0"/>
    <n v="20000"/>
    <n v="0"/>
    <x v="0"/>
    <s v="Clerical"/>
    <x v="1"/>
    <n v="0"/>
    <x v="0"/>
    <x v="1"/>
    <n v="26"/>
    <x v="2"/>
    <s v="Yes"/>
    <x v="1"/>
  </r>
  <r>
    <n v="28379"/>
    <s v="M"/>
    <x v="0"/>
    <s v="M"/>
    <x v="1"/>
    <n v="30000"/>
    <n v="1"/>
    <x v="0"/>
    <s v="Skilled Manual"/>
    <x v="0"/>
    <n v="2"/>
    <x v="0"/>
    <x v="0"/>
    <n v="40"/>
    <x v="0"/>
    <s v="No"/>
    <x v="0"/>
  </r>
  <r>
    <n v="14865"/>
    <s v="S"/>
    <x v="1"/>
    <s v="M"/>
    <x v="1"/>
    <n v="40000"/>
    <n v="2"/>
    <x v="1"/>
    <s v="Clerical"/>
    <x v="0"/>
    <n v="2"/>
    <x v="3"/>
    <x v="0"/>
    <n v="36"/>
    <x v="0"/>
    <s v="No"/>
    <x v="0"/>
  </r>
  <r>
    <n v="12663"/>
    <s v="M"/>
    <x v="0"/>
    <s v="F"/>
    <x v="0"/>
    <n v="90000"/>
    <n v="5"/>
    <x v="3"/>
    <s v="Skilled Manual"/>
    <x v="0"/>
    <n v="2"/>
    <x v="4"/>
    <x v="0"/>
    <n v="59"/>
    <x v="1"/>
    <s v="No"/>
    <x v="0"/>
  </r>
  <r>
    <n v="24898"/>
    <s v="S"/>
    <x v="1"/>
    <s v="F"/>
    <x v="0"/>
    <n v="80000"/>
    <n v="0"/>
    <x v="0"/>
    <s v="Professional"/>
    <x v="0"/>
    <n v="3"/>
    <x v="4"/>
    <x v="1"/>
    <n v="32"/>
    <x v="0"/>
    <s v="No"/>
    <x v="0"/>
  </r>
  <r>
    <n v="19508"/>
    <s v="M"/>
    <x v="0"/>
    <s v="M"/>
    <x v="1"/>
    <n v="10000"/>
    <n v="0"/>
    <x v="3"/>
    <s v="Manual"/>
    <x v="1"/>
    <n v="2"/>
    <x v="0"/>
    <x v="0"/>
    <n v="30"/>
    <x v="2"/>
    <s v="No"/>
    <x v="0"/>
  </r>
  <r>
    <n v="11489"/>
    <s v="S"/>
    <x v="1"/>
    <s v="F"/>
    <x v="0"/>
    <n v="20000"/>
    <n v="0"/>
    <x v="3"/>
    <s v="Manual"/>
    <x v="1"/>
    <n v="2"/>
    <x v="3"/>
    <x v="0"/>
    <n v="35"/>
    <x v="0"/>
    <s v="Yes"/>
    <x v="1"/>
  </r>
  <r>
    <n v="18160"/>
    <s v="M"/>
    <x v="0"/>
    <s v="M"/>
    <x v="1"/>
    <n v="130000"/>
    <n v="3"/>
    <x v="2"/>
    <s v="Professional"/>
    <x v="0"/>
    <n v="4"/>
    <x v="2"/>
    <x v="0"/>
    <n v="51"/>
    <x v="0"/>
    <s v="Yes"/>
    <x v="1"/>
  </r>
  <r>
    <n v="25241"/>
    <s v="M"/>
    <x v="0"/>
    <s v="M"/>
    <x v="1"/>
    <n v="90000"/>
    <n v="2"/>
    <x v="0"/>
    <s v="Professional"/>
    <x v="0"/>
    <n v="1"/>
    <x v="2"/>
    <x v="1"/>
    <n v="47"/>
    <x v="0"/>
    <s v="No"/>
    <x v="0"/>
  </r>
  <r>
    <n v="24369"/>
    <s v="M"/>
    <x v="0"/>
    <s v="M"/>
    <x v="1"/>
    <n v="80000"/>
    <n v="5"/>
    <x v="4"/>
    <s v="Management"/>
    <x v="1"/>
    <n v="2"/>
    <x v="0"/>
    <x v="1"/>
    <n v="39"/>
    <x v="0"/>
    <s v="No"/>
    <x v="0"/>
  </r>
  <r>
    <n v="27165"/>
    <s v="S"/>
    <x v="1"/>
    <s v="M"/>
    <x v="1"/>
    <n v="20000"/>
    <n v="0"/>
    <x v="3"/>
    <s v="Manual"/>
    <x v="1"/>
    <n v="2"/>
    <x v="0"/>
    <x v="0"/>
    <n v="34"/>
    <x v="0"/>
    <s v="No"/>
    <x v="0"/>
  </r>
  <r>
    <n v="29424"/>
    <s v="M"/>
    <x v="0"/>
    <s v="M"/>
    <x v="1"/>
    <n v="10000"/>
    <n v="0"/>
    <x v="3"/>
    <s v="Manual"/>
    <x v="0"/>
    <n v="2"/>
    <x v="0"/>
    <x v="0"/>
    <n v="32"/>
    <x v="0"/>
    <s v="No"/>
    <x v="0"/>
  </r>
  <r>
    <n v="15926"/>
    <s v="S"/>
    <x v="1"/>
    <s v="F"/>
    <x v="0"/>
    <n v="120000"/>
    <n v="3"/>
    <x v="2"/>
    <s v="Professional"/>
    <x v="0"/>
    <n v="4"/>
    <x v="2"/>
    <x v="0"/>
    <n v="50"/>
    <x v="0"/>
    <s v="Yes"/>
    <x v="1"/>
  </r>
  <r>
    <n v="14554"/>
    <s v="M"/>
    <x v="0"/>
    <s v="M"/>
    <x v="1"/>
    <n v="20000"/>
    <n v="1"/>
    <x v="0"/>
    <s v="Clerical"/>
    <x v="0"/>
    <n v="0"/>
    <x v="0"/>
    <x v="0"/>
    <n v="66"/>
    <x v="1"/>
    <s v="No"/>
    <x v="0"/>
  </r>
  <r>
    <n v="16468"/>
    <s v="S"/>
    <x v="1"/>
    <s v="M"/>
    <x v="1"/>
    <n v="30000"/>
    <n v="0"/>
    <x v="1"/>
    <s v="Clerical"/>
    <x v="0"/>
    <n v="1"/>
    <x v="1"/>
    <x v="0"/>
    <n v="30"/>
    <x v="2"/>
    <s v="No"/>
    <x v="0"/>
  </r>
  <r>
    <n v="19174"/>
    <s v="S"/>
    <x v="1"/>
    <s v="F"/>
    <x v="0"/>
    <n v="30000"/>
    <n v="0"/>
    <x v="2"/>
    <s v="Manual"/>
    <x v="1"/>
    <n v="1"/>
    <x v="1"/>
    <x v="0"/>
    <n v="32"/>
    <x v="0"/>
    <s v="Yes"/>
    <x v="1"/>
  </r>
  <r>
    <n v="19183"/>
    <s v="S"/>
    <x v="1"/>
    <s v="M"/>
    <x v="1"/>
    <n v="10000"/>
    <n v="0"/>
    <x v="3"/>
    <s v="Manual"/>
    <x v="0"/>
    <n v="2"/>
    <x v="3"/>
    <x v="0"/>
    <n v="35"/>
    <x v="0"/>
    <s v="No"/>
    <x v="0"/>
  </r>
  <r>
    <n v="13683"/>
    <s v="S"/>
    <x v="1"/>
    <s v="F"/>
    <x v="0"/>
    <n v="30000"/>
    <n v="0"/>
    <x v="2"/>
    <s v="Manual"/>
    <x v="1"/>
    <n v="1"/>
    <x v="1"/>
    <x v="0"/>
    <n v="32"/>
    <x v="0"/>
    <s v="No"/>
    <x v="0"/>
  </r>
  <r>
    <n v="17848"/>
    <s v="S"/>
    <x v="1"/>
    <s v="M"/>
    <x v="1"/>
    <n v="30000"/>
    <n v="0"/>
    <x v="1"/>
    <s v="Clerical"/>
    <x v="1"/>
    <n v="1"/>
    <x v="1"/>
    <x v="0"/>
    <n v="31"/>
    <x v="0"/>
    <s v="Yes"/>
    <x v="1"/>
  </r>
  <r>
    <n v="17894"/>
    <s v="M"/>
    <x v="0"/>
    <s v="F"/>
    <x v="0"/>
    <n v="20000"/>
    <n v="1"/>
    <x v="0"/>
    <s v="Clerical"/>
    <x v="0"/>
    <n v="0"/>
    <x v="0"/>
    <x v="0"/>
    <n v="50"/>
    <x v="0"/>
    <s v="Yes"/>
    <x v="1"/>
  </r>
  <r>
    <n v="25651"/>
    <s v="M"/>
    <x v="0"/>
    <s v="M"/>
    <x v="1"/>
    <n v="40000"/>
    <n v="1"/>
    <x v="0"/>
    <s v="Skilled Manual"/>
    <x v="1"/>
    <n v="0"/>
    <x v="0"/>
    <x v="0"/>
    <n v="43"/>
    <x v="0"/>
    <s v="Yes"/>
    <x v="1"/>
  </r>
  <r>
    <n v="22936"/>
    <s v="S"/>
    <x v="1"/>
    <s v="F"/>
    <x v="0"/>
    <n v="60000"/>
    <n v="1"/>
    <x v="1"/>
    <s v="Skilled Manual"/>
    <x v="1"/>
    <n v="1"/>
    <x v="0"/>
    <x v="1"/>
    <n v="45"/>
    <x v="0"/>
    <s v="Yes"/>
    <x v="1"/>
  </r>
  <r>
    <n v="23915"/>
    <s v="M"/>
    <x v="0"/>
    <s v="M"/>
    <x v="1"/>
    <n v="20000"/>
    <n v="2"/>
    <x v="2"/>
    <s v="Manual"/>
    <x v="0"/>
    <n v="2"/>
    <x v="0"/>
    <x v="0"/>
    <n v="42"/>
    <x v="0"/>
    <s v="No"/>
    <x v="0"/>
  </r>
  <r>
    <n v="24121"/>
    <s v="S"/>
    <x v="1"/>
    <s v="F"/>
    <x v="0"/>
    <n v="30000"/>
    <n v="0"/>
    <x v="1"/>
    <s v="Clerical"/>
    <x v="1"/>
    <n v="1"/>
    <x v="0"/>
    <x v="0"/>
    <n v="29"/>
    <x v="2"/>
    <s v="Yes"/>
    <x v="1"/>
  </r>
  <r>
    <n v="27878"/>
    <s v="S"/>
    <x v="1"/>
    <s v="M"/>
    <x v="1"/>
    <n v="20000"/>
    <n v="0"/>
    <x v="1"/>
    <s v="Manual"/>
    <x v="1"/>
    <n v="0"/>
    <x v="0"/>
    <x v="1"/>
    <n v="28"/>
    <x v="2"/>
    <s v="Yes"/>
    <x v="1"/>
  </r>
  <r>
    <n v="13572"/>
    <s v="S"/>
    <x v="1"/>
    <s v="M"/>
    <x v="1"/>
    <n v="10000"/>
    <n v="3"/>
    <x v="2"/>
    <s v="Manual"/>
    <x v="0"/>
    <n v="0"/>
    <x v="0"/>
    <x v="0"/>
    <n v="37"/>
    <x v="0"/>
    <s v="Yes"/>
    <x v="1"/>
  </r>
  <r>
    <n v="27941"/>
    <s v="M"/>
    <x v="0"/>
    <s v="F"/>
    <x v="0"/>
    <n v="80000"/>
    <n v="4"/>
    <x v="1"/>
    <s v="Professional"/>
    <x v="0"/>
    <n v="2"/>
    <x v="1"/>
    <x v="0"/>
    <n v="53"/>
    <x v="0"/>
    <s v="No"/>
    <x v="0"/>
  </r>
  <r>
    <n v="26354"/>
    <s v="S"/>
    <x v="1"/>
    <s v="M"/>
    <x v="1"/>
    <n v="40000"/>
    <n v="0"/>
    <x v="4"/>
    <s v="Clerical"/>
    <x v="1"/>
    <n v="0"/>
    <x v="0"/>
    <x v="0"/>
    <n v="38"/>
    <x v="0"/>
    <s v="Yes"/>
    <x v="1"/>
  </r>
  <r>
    <n v="14785"/>
    <s v="S"/>
    <x v="1"/>
    <s v="M"/>
    <x v="1"/>
    <n v="30000"/>
    <n v="1"/>
    <x v="0"/>
    <s v="Clerical"/>
    <x v="1"/>
    <n v="1"/>
    <x v="3"/>
    <x v="0"/>
    <n v="39"/>
    <x v="0"/>
    <s v="No"/>
    <x v="0"/>
  </r>
  <r>
    <n v="17238"/>
    <s v="S"/>
    <x v="1"/>
    <s v="M"/>
    <x v="1"/>
    <n v="80000"/>
    <n v="0"/>
    <x v="0"/>
    <s v="Professional"/>
    <x v="0"/>
    <n v="3"/>
    <x v="4"/>
    <x v="1"/>
    <n v="32"/>
    <x v="0"/>
    <s v="No"/>
    <x v="0"/>
  </r>
  <r>
    <n v="23608"/>
    <s v="M"/>
    <x v="0"/>
    <s v="F"/>
    <x v="0"/>
    <n v="150000"/>
    <n v="3"/>
    <x v="2"/>
    <s v="Professional"/>
    <x v="0"/>
    <n v="3"/>
    <x v="0"/>
    <x v="0"/>
    <n v="51"/>
    <x v="0"/>
    <s v="Yes"/>
    <x v="1"/>
  </r>
  <r>
    <n v="22538"/>
    <s v="S"/>
    <x v="1"/>
    <s v="F"/>
    <x v="0"/>
    <n v="10000"/>
    <n v="0"/>
    <x v="3"/>
    <s v="Manual"/>
    <x v="0"/>
    <n v="2"/>
    <x v="3"/>
    <x v="0"/>
    <n v="33"/>
    <x v="0"/>
    <s v="No"/>
    <x v="0"/>
  </r>
  <r>
    <n v="12332"/>
    <s v="M"/>
    <x v="0"/>
    <s v="M"/>
    <x v="1"/>
    <n v="90000"/>
    <n v="4"/>
    <x v="2"/>
    <s v="Management"/>
    <x v="0"/>
    <n v="3"/>
    <x v="2"/>
    <x v="0"/>
    <n v="58"/>
    <x v="1"/>
    <s v="Yes"/>
    <x v="1"/>
  </r>
  <r>
    <n v="17230"/>
    <s v="M"/>
    <x v="0"/>
    <s v="M"/>
    <x v="1"/>
    <n v="80000"/>
    <n v="0"/>
    <x v="0"/>
    <s v="Professional"/>
    <x v="0"/>
    <n v="3"/>
    <x v="4"/>
    <x v="1"/>
    <n v="30"/>
    <x v="2"/>
    <s v="No"/>
    <x v="0"/>
  </r>
  <r>
    <n v="13082"/>
    <s v="S"/>
    <x v="1"/>
    <s v="M"/>
    <x v="1"/>
    <n v="130000"/>
    <n v="0"/>
    <x v="4"/>
    <s v="Management"/>
    <x v="0"/>
    <n v="0"/>
    <x v="1"/>
    <x v="1"/>
    <n v="48"/>
    <x v="0"/>
    <s v="Yes"/>
    <x v="1"/>
  </r>
  <r>
    <n v="22518"/>
    <s v="S"/>
    <x v="1"/>
    <s v="F"/>
    <x v="0"/>
    <n v="30000"/>
    <n v="3"/>
    <x v="1"/>
    <s v="Clerical"/>
    <x v="1"/>
    <n v="2"/>
    <x v="0"/>
    <x v="0"/>
    <n v="27"/>
    <x v="2"/>
    <s v="Yes"/>
    <x v="1"/>
  </r>
  <r>
    <n v="13687"/>
    <s v="M"/>
    <x v="0"/>
    <s v="M"/>
    <x v="1"/>
    <n v="40000"/>
    <n v="1"/>
    <x v="0"/>
    <s v="Skilled Manual"/>
    <x v="0"/>
    <n v="1"/>
    <x v="0"/>
    <x v="0"/>
    <n v="33"/>
    <x v="0"/>
    <s v="Yes"/>
    <x v="1"/>
  </r>
  <r>
    <n v="23571"/>
    <s v="M"/>
    <x v="0"/>
    <s v="F"/>
    <x v="0"/>
    <n v="40000"/>
    <n v="2"/>
    <x v="0"/>
    <s v="Management"/>
    <x v="0"/>
    <n v="2"/>
    <x v="0"/>
    <x v="1"/>
    <n v="66"/>
    <x v="1"/>
    <s v="Yes"/>
    <x v="1"/>
  </r>
  <r>
    <n v="19305"/>
    <s v="S"/>
    <x v="1"/>
    <s v="F"/>
    <x v="0"/>
    <n v="10000"/>
    <n v="2"/>
    <x v="2"/>
    <s v="Manual"/>
    <x v="0"/>
    <n v="1"/>
    <x v="0"/>
    <x v="0"/>
    <n v="38"/>
    <x v="0"/>
    <s v="Yes"/>
    <x v="1"/>
  </r>
  <r>
    <n v="22636"/>
    <s v="S"/>
    <x v="1"/>
    <s v="F"/>
    <x v="0"/>
    <n v="40000"/>
    <n v="0"/>
    <x v="0"/>
    <s v="Clerical"/>
    <x v="1"/>
    <n v="0"/>
    <x v="0"/>
    <x v="0"/>
    <n v="38"/>
    <x v="0"/>
    <s v="Yes"/>
    <x v="1"/>
  </r>
  <r>
    <n v="17310"/>
    <s v="M"/>
    <x v="0"/>
    <s v="M"/>
    <x v="1"/>
    <n v="60000"/>
    <n v="1"/>
    <x v="1"/>
    <s v="Skilled Manual"/>
    <x v="0"/>
    <n v="1"/>
    <x v="0"/>
    <x v="1"/>
    <n v="45"/>
    <x v="0"/>
    <s v="Yes"/>
    <x v="1"/>
  </r>
  <r>
    <n v="12133"/>
    <s v="M"/>
    <x v="0"/>
    <s v="F"/>
    <x v="0"/>
    <n v="130000"/>
    <n v="3"/>
    <x v="1"/>
    <s v="Professional"/>
    <x v="0"/>
    <n v="3"/>
    <x v="2"/>
    <x v="0"/>
    <n v="50"/>
    <x v="0"/>
    <s v="Yes"/>
    <x v="1"/>
  </r>
  <r>
    <n v="25918"/>
    <s v="S"/>
    <x v="1"/>
    <s v="F"/>
    <x v="0"/>
    <n v="30000"/>
    <n v="2"/>
    <x v="1"/>
    <s v="Clerical"/>
    <x v="1"/>
    <n v="2"/>
    <x v="2"/>
    <x v="1"/>
    <n v="60"/>
    <x v="1"/>
    <s v="Yes"/>
    <x v="1"/>
  </r>
  <r>
    <n v="25752"/>
    <s v="S"/>
    <x v="1"/>
    <s v="F"/>
    <x v="0"/>
    <n v="20000"/>
    <n v="2"/>
    <x v="1"/>
    <s v="Manual"/>
    <x v="1"/>
    <n v="1"/>
    <x v="0"/>
    <x v="0"/>
    <n v="53"/>
    <x v="0"/>
    <s v="Yes"/>
    <x v="1"/>
  </r>
  <r>
    <n v="17324"/>
    <s v="M"/>
    <x v="0"/>
    <s v="F"/>
    <x v="0"/>
    <n v="100000"/>
    <n v="4"/>
    <x v="0"/>
    <s v="Professional"/>
    <x v="0"/>
    <n v="1"/>
    <x v="4"/>
    <x v="1"/>
    <n v="46"/>
    <x v="0"/>
    <s v="No"/>
    <x v="0"/>
  </r>
  <r>
    <n v="22918"/>
    <s v="S"/>
    <x v="1"/>
    <s v="M"/>
    <x v="1"/>
    <n v="80000"/>
    <n v="5"/>
    <x v="4"/>
    <s v="Management"/>
    <x v="0"/>
    <n v="3"/>
    <x v="0"/>
    <x v="1"/>
    <n v="50"/>
    <x v="0"/>
    <s v="No"/>
    <x v="0"/>
  </r>
  <r>
    <n v="12510"/>
    <s v="M"/>
    <x v="0"/>
    <s v="M"/>
    <x v="1"/>
    <n v="40000"/>
    <n v="1"/>
    <x v="0"/>
    <s v="Skilled Manual"/>
    <x v="0"/>
    <n v="1"/>
    <x v="0"/>
    <x v="0"/>
    <n v="43"/>
    <x v="0"/>
    <s v="Yes"/>
    <x v="1"/>
  </r>
  <r>
    <n v="25512"/>
    <s v="S"/>
    <x v="1"/>
    <s v="M"/>
    <x v="1"/>
    <n v="20000"/>
    <n v="0"/>
    <x v="2"/>
    <s v="Manual"/>
    <x v="1"/>
    <n v="1"/>
    <x v="1"/>
    <x v="0"/>
    <n v="30"/>
    <x v="2"/>
    <s v="No"/>
    <x v="0"/>
  </r>
  <r>
    <n v="16179"/>
    <s v="S"/>
    <x v="1"/>
    <s v="F"/>
    <x v="0"/>
    <n v="80000"/>
    <n v="5"/>
    <x v="0"/>
    <s v="Professional"/>
    <x v="0"/>
    <n v="4"/>
    <x v="3"/>
    <x v="1"/>
    <n v="38"/>
    <x v="0"/>
    <s v="No"/>
    <x v="0"/>
  </r>
  <r>
    <n v="15628"/>
    <s v="M"/>
    <x v="0"/>
    <s v="F"/>
    <x v="0"/>
    <n v="40000"/>
    <n v="1"/>
    <x v="0"/>
    <s v="Skilled Manual"/>
    <x v="0"/>
    <n v="1"/>
    <x v="0"/>
    <x v="0"/>
    <n v="89"/>
    <x v="1"/>
    <s v="No"/>
    <x v="0"/>
  </r>
  <r>
    <n v="20977"/>
    <s v="M"/>
    <x v="0"/>
    <s v="M"/>
    <x v="1"/>
    <n v="20000"/>
    <n v="1"/>
    <x v="0"/>
    <s v="Clerical"/>
    <x v="0"/>
    <n v="0"/>
    <x v="0"/>
    <x v="0"/>
    <n v="64"/>
    <x v="1"/>
    <s v="Yes"/>
    <x v="1"/>
  </r>
  <r>
    <n v="18140"/>
    <s v="M"/>
    <x v="0"/>
    <s v="M"/>
    <x v="1"/>
    <n v="130000"/>
    <n v="3"/>
    <x v="1"/>
    <s v="Professional"/>
    <x v="1"/>
    <n v="3"/>
    <x v="2"/>
    <x v="0"/>
    <n v="51"/>
    <x v="0"/>
    <s v="Yes"/>
    <x v="1"/>
  </r>
  <r>
    <n v="20417"/>
    <s v="M"/>
    <x v="0"/>
    <s v="M"/>
    <x v="1"/>
    <n v="30000"/>
    <n v="3"/>
    <x v="1"/>
    <s v="Clerical"/>
    <x v="1"/>
    <n v="2"/>
    <x v="2"/>
    <x v="1"/>
    <n v="56"/>
    <x v="1"/>
    <s v="No"/>
    <x v="0"/>
  </r>
  <r>
    <n v="18267"/>
    <s v="M"/>
    <x v="0"/>
    <s v="M"/>
    <x v="1"/>
    <n v="60000"/>
    <n v="3"/>
    <x v="0"/>
    <s v="Professional"/>
    <x v="0"/>
    <n v="2"/>
    <x v="2"/>
    <x v="1"/>
    <n v="43"/>
    <x v="0"/>
    <s v="No"/>
    <x v="0"/>
  </r>
  <r>
    <n v="13620"/>
    <s v="S"/>
    <x v="1"/>
    <s v="M"/>
    <x v="1"/>
    <n v="70000"/>
    <n v="0"/>
    <x v="0"/>
    <s v="Professional"/>
    <x v="1"/>
    <n v="3"/>
    <x v="4"/>
    <x v="1"/>
    <n v="30"/>
    <x v="2"/>
    <s v="Yes"/>
    <x v="1"/>
  </r>
  <r>
    <n v="22974"/>
    <s v="M"/>
    <x v="0"/>
    <s v="F"/>
    <x v="0"/>
    <n v="30000"/>
    <n v="2"/>
    <x v="1"/>
    <s v="Clerical"/>
    <x v="0"/>
    <n v="2"/>
    <x v="2"/>
    <x v="1"/>
    <n v="69"/>
    <x v="1"/>
    <s v="No"/>
    <x v="0"/>
  </r>
  <r>
    <n v="13586"/>
    <s v="M"/>
    <x v="0"/>
    <s v="M"/>
    <x v="1"/>
    <n v="80000"/>
    <n v="4"/>
    <x v="1"/>
    <s v="Professional"/>
    <x v="0"/>
    <n v="2"/>
    <x v="4"/>
    <x v="0"/>
    <n v="53"/>
    <x v="0"/>
    <s v="No"/>
    <x v="0"/>
  </r>
  <r>
    <n v="17978"/>
    <s v="M"/>
    <x v="0"/>
    <s v="M"/>
    <x v="1"/>
    <n v="40000"/>
    <n v="0"/>
    <x v="4"/>
    <s v="Clerical"/>
    <x v="0"/>
    <n v="0"/>
    <x v="0"/>
    <x v="0"/>
    <n v="37"/>
    <x v="0"/>
    <s v="Yes"/>
    <x v="1"/>
  </r>
  <r>
    <n v="12581"/>
    <s v="S"/>
    <x v="1"/>
    <s v="F"/>
    <x v="0"/>
    <n v="10000"/>
    <n v="0"/>
    <x v="1"/>
    <s v="Manual"/>
    <x v="1"/>
    <n v="1"/>
    <x v="0"/>
    <x v="1"/>
    <n v="28"/>
    <x v="2"/>
    <s v="Yes"/>
    <x v="1"/>
  </r>
  <r>
    <n v="18018"/>
    <s v="S"/>
    <x v="1"/>
    <s v="M"/>
    <x v="1"/>
    <n v="30000"/>
    <n v="3"/>
    <x v="1"/>
    <s v="Clerical"/>
    <x v="0"/>
    <n v="0"/>
    <x v="0"/>
    <x v="0"/>
    <n v="43"/>
    <x v="0"/>
    <s v="No"/>
    <x v="0"/>
  </r>
  <r>
    <n v="28957"/>
    <s v="S"/>
    <x v="1"/>
    <s v="F"/>
    <x v="0"/>
    <n v="120000"/>
    <n v="0"/>
    <x v="3"/>
    <s v="Professional"/>
    <x v="0"/>
    <n v="4"/>
    <x v="4"/>
    <x v="1"/>
    <n v="34"/>
    <x v="0"/>
    <s v="Yes"/>
    <x v="1"/>
  </r>
  <r>
    <n v="13690"/>
    <s v="S"/>
    <x v="1"/>
    <s v="F"/>
    <x v="0"/>
    <n v="20000"/>
    <n v="0"/>
    <x v="3"/>
    <s v="Manual"/>
    <x v="1"/>
    <n v="2"/>
    <x v="3"/>
    <x v="0"/>
    <n v="34"/>
    <x v="0"/>
    <s v="Yes"/>
    <x v="1"/>
  </r>
  <r>
    <n v="12568"/>
    <s v="M"/>
    <x v="0"/>
    <s v="F"/>
    <x v="0"/>
    <n v="30000"/>
    <n v="1"/>
    <x v="0"/>
    <s v="Clerical"/>
    <x v="0"/>
    <n v="0"/>
    <x v="0"/>
    <x v="0"/>
    <n v="64"/>
    <x v="1"/>
    <s v="No"/>
    <x v="0"/>
  </r>
  <r>
    <n v="13122"/>
    <s v="M"/>
    <x v="0"/>
    <s v="F"/>
    <x v="0"/>
    <n v="80000"/>
    <n v="0"/>
    <x v="0"/>
    <s v="Professional"/>
    <x v="0"/>
    <n v="1"/>
    <x v="3"/>
    <x v="1"/>
    <n v="41"/>
    <x v="0"/>
    <s v="Yes"/>
    <x v="1"/>
  </r>
  <r>
    <n v="21184"/>
    <s v="S"/>
    <x v="1"/>
    <s v="M"/>
    <x v="1"/>
    <n v="70000"/>
    <n v="0"/>
    <x v="0"/>
    <s v="Professional"/>
    <x v="1"/>
    <n v="1"/>
    <x v="2"/>
    <x v="1"/>
    <n v="38"/>
    <x v="0"/>
    <s v="No"/>
    <x v="0"/>
  </r>
  <r>
    <n v="26150"/>
    <s v="S"/>
    <x v="1"/>
    <s v="F"/>
    <x v="0"/>
    <n v="70000"/>
    <n v="0"/>
    <x v="0"/>
    <s v="Professional"/>
    <x v="1"/>
    <n v="1"/>
    <x v="0"/>
    <x v="1"/>
    <n v="41"/>
    <x v="0"/>
    <s v="Yes"/>
    <x v="1"/>
  </r>
  <r>
    <n v="24151"/>
    <s v="S"/>
    <x v="1"/>
    <s v="M"/>
    <x v="1"/>
    <n v="20000"/>
    <n v="1"/>
    <x v="0"/>
    <s v="Clerical"/>
    <x v="1"/>
    <n v="0"/>
    <x v="0"/>
    <x v="0"/>
    <n v="51"/>
    <x v="0"/>
    <s v="No"/>
    <x v="0"/>
  </r>
  <r>
    <n v="23962"/>
    <s v="M"/>
    <x v="0"/>
    <s v="F"/>
    <x v="0"/>
    <n v="10000"/>
    <n v="0"/>
    <x v="3"/>
    <s v="Manual"/>
    <x v="0"/>
    <n v="2"/>
    <x v="3"/>
    <x v="0"/>
    <n v="32"/>
    <x v="0"/>
    <s v="No"/>
    <x v="0"/>
  </r>
  <r>
    <n v="17793"/>
    <s v="M"/>
    <x v="0"/>
    <s v="F"/>
    <x v="0"/>
    <n v="40000"/>
    <n v="0"/>
    <x v="0"/>
    <s v="Clerical"/>
    <x v="0"/>
    <n v="0"/>
    <x v="0"/>
    <x v="0"/>
    <n v="38"/>
    <x v="0"/>
    <s v="Yes"/>
    <x v="1"/>
  </r>
  <r>
    <n v="14926"/>
    <s v="M"/>
    <x v="0"/>
    <s v="M"/>
    <x v="1"/>
    <n v="30000"/>
    <n v="1"/>
    <x v="0"/>
    <s v="Clerical"/>
    <x v="0"/>
    <n v="0"/>
    <x v="0"/>
    <x v="0"/>
    <n v="38"/>
    <x v="0"/>
    <s v="Yes"/>
    <x v="1"/>
  </r>
  <r>
    <n v="16163"/>
    <s v="S"/>
    <x v="1"/>
    <s v="M"/>
    <x v="1"/>
    <n v="60000"/>
    <n v="2"/>
    <x v="0"/>
    <s v="Professional"/>
    <x v="0"/>
    <n v="1"/>
    <x v="1"/>
    <x v="1"/>
    <n v="38"/>
    <x v="0"/>
    <s v="Yes"/>
    <x v="1"/>
  </r>
  <r>
    <n v="21365"/>
    <s v="M"/>
    <x v="0"/>
    <s v="F"/>
    <x v="0"/>
    <n v="10000"/>
    <n v="2"/>
    <x v="3"/>
    <s v="Clerical"/>
    <x v="0"/>
    <n v="2"/>
    <x v="2"/>
    <x v="1"/>
    <n v="58"/>
    <x v="1"/>
    <s v="No"/>
    <x v="0"/>
  </r>
  <r>
    <n v="27771"/>
    <s v="S"/>
    <x v="1"/>
    <s v="M"/>
    <x v="1"/>
    <n v="30000"/>
    <n v="1"/>
    <x v="0"/>
    <s v="Clerical"/>
    <x v="0"/>
    <n v="1"/>
    <x v="3"/>
    <x v="0"/>
    <n v="39"/>
    <x v="0"/>
    <s v="Yes"/>
    <x v="1"/>
  </r>
  <r>
    <n v="26167"/>
    <s v="S"/>
    <x v="1"/>
    <s v="F"/>
    <x v="0"/>
    <n v="40000"/>
    <n v="2"/>
    <x v="0"/>
    <s v="Management"/>
    <x v="1"/>
    <n v="1"/>
    <x v="2"/>
    <x v="1"/>
    <n v="53"/>
    <x v="0"/>
    <s v="Yes"/>
    <x v="1"/>
  </r>
  <r>
    <n v="25792"/>
    <s v="S"/>
    <x v="1"/>
    <s v="F"/>
    <x v="0"/>
    <n v="110000"/>
    <n v="3"/>
    <x v="0"/>
    <s v="Management"/>
    <x v="0"/>
    <n v="4"/>
    <x v="4"/>
    <x v="0"/>
    <n v="53"/>
    <x v="0"/>
    <s v="No"/>
    <x v="0"/>
  </r>
  <r>
    <n v="11555"/>
    <s v="M"/>
    <x v="0"/>
    <s v="F"/>
    <x v="0"/>
    <n v="40000"/>
    <n v="1"/>
    <x v="0"/>
    <s v="Clerical"/>
    <x v="0"/>
    <n v="0"/>
    <x v="0"/>
    <x v="0"/>
    <n v="80"/>
    <x v="1"/>
    <s v="No"/>
    <x v="0"/>
  </r>
  <r>
    <n v="22381"/>
    <s v="M"/>
    <x v="0"/>
    <s v="M"/>
    <x v="1"/>
    <n v="10000"/>
    <n v="1"/>
    <x v="4"/>
    <s v="Manual"/>
    <x v="0"/>
    <n v="0"/>
    <x v="0"/>
    <x v="0"/>
    <n v="44"/>
    <x v="0"/>
    <s v="No"/>
    <x v="0"/>
  </r>
  <r>
    <n v="17882"/>
    <s v="M"/>
    <x v="0"/>
    <s v="M"/>
    <x v="1"/>
    <n v="20000"/>
    <n v="1"/>
    <x v="4"/>
    <s v="Clerical"/>
    <x v="0"/>
    <n v="0"/>
    <x v="0"/>
    <x v="0"/>
    <n v="44"/>
    <x v="0"/>
    <s v="No"/>
    <x v="0"/>
  </r>
  <r>
    <n v="22174"/>
    <s v="M"/>
    <x v="0"/>
    <s v="M"/>
    <x v="1"/>
    <n v="30000"/>
    <n v="3"/>
    <x v="2"/>
    <s v="Skilled Manual"/>
    <x v="0"/>
    <n v="2"/>
    <x v="2"/>
    <x v="1"/>
    <n v="54"/>
    <x v="0"/>
    <s v="Yes"/>
    <x v="1"/>
  </r>
  <r>
    <n v="22439"/>
    <s v="M"/>
    <x v="0"/>
    <s v="F"/>
    <x v="0"/>
    <n v="30000"/>
    <n v="0"/>
    <x v="0"/>
    <s v="Clerical"/>
    <x v="0"/>
    <n v="0"/>
    <x v="0"/>
    <x v="0"/>
    <n v="37"/>
    <x v="0"/>
    <s v="Yes"/>
    <x v="1"/>
  </r>
  <r>
    <n v="18012"/>
    <s v="M"/>
    <x v="0"/>
    <s v="F"/>
    <x v="0"/>
    <n v="40000"/>
    <n v="1"/>
    <x v="0"/>
    <s v="Skilled Manual"/>
    <x v="0"/>
    <n v="0"/>
    <x v="0"/>
    <x v="0"/>
    <n v="41"/>
    <x v="0"/>
    <s v="No"/>
    <x v="0"/>
  </r>
  <r>
    <n v="27582"/>
    <s v="S"/>
    <x v="1"/>
    <s v="F"/>
    <x v="0"/>
    <n v="90000"/>
    <n v="2"/>
    <x v="0"/>
    <s v="Professional"/>
    <x v="1"/>
    <n v="0"/>
    <x v="0"/>
    <x v="1"/>
    <n v="36"/>
    <x v="0"/>
    <s v="Yes"/>
    <x v="1"/>
  </r>
  <r>
    <n v="12744"/>
    <s v="S"/>
    <x v="1"/>
    <s v="F"/>
    <x v="0"/>
    <n v="40000"/>
    <n v="2"/>
    <x v="1"/>
    <s v="Clerical"/>
    <x v="0"/>
    <n v="0"/>
    <x v="0"/>
    <x v="0"/>
    <n v="33"/>
    <x v="0"/>
    <s v="No"/>
    <x v="0"/>
  </r>
  <r>
    <n v="22821"/>
    <s v="M"/>
    <x v="0"/>
    <s v="F"/>
    <x v="0"/>
    <n v="130000"/>
    <n v="3"/>
    <x v="1"/>
    <s v="Professional"/>
    <x v="0"/>
    <n v="4"/>
    <x v="0"/>
    <x v="0"/>
    <n v="52"/>
    <x v="0"/>
    <s v="No"/>
    <x v="0"/>
  </r>
  <r>
    <n v="20171"/>
    <s v="M"/>
    <x v="0"/>
    <s v="F"/>
    <x v="0"/>
    <n v="20000"/>
    <n v="2"/>
    <x v="1"/>
    <s v="Manual"/>
    <x v="0"/>
    <n v="1"/>
    <x v="0"/>
    <x v="0"/>
    <n v="46"/>
    <x v="0"/>
    <s v="Yes"/>
    <x v="1"/>
  </r>
  <r>
    <n v="11116"/>
    <s v="M"/>
    <x v="0"/>
    <s v="M"/>
    <x v="1"/>
    <n v="70000"/>
    <n v="5"/>
    <x v="1"/>
    <s v="Skilled Manual"/>
    <x v="0"/>
    <n v="2"/>
    <x v="2"/>
    <x v="1"/>
    <n v="43"/>
    <x v="0"/>
    <s v="No"/>
    <x v="0"/>
  </r>
  <r>
    <n v="20053"/>
    <s v="S"/>
    <x v="1"/>
    <s v="M"/>
    <x v="1"/>
    <n v="40000"/>
    <n v="2"/>
    <x v="1"/>
    <s v="Clerical"/>
    <x v="0"/>
    <n v="0"/>
    <x v="0"/>
    <x v="0"/>
    <n v="34"/>
    <x v="0"/>
    <s v="No"/>
    <x v="0"/>
  </r>
  <r>
    <n v="25266"/>
    <s v="S"/>
    <x v="1"/>
    <s v="F"/>
    <x v="0"/>
    <n v="30000"/>
    <n v="2"/>
    <x v="1"/>
    <s v="Clerical"/>
    <x v="1"/>
    <n v="2"/>
    <x v="2"/>
    <x v="1"/>
    <n v="67"/>
    <x v="1"/>
    <s v="No"/>
    <x v="0"/>
  </r>
  <r>
    <n v="17960"/>
    <s v="M"/>
    <x v="0"/>
    <s v="F"/>
    <x v="0"/>
    <n v="40000"/>
    <n v="0"/>
    <x v="4"/>
    <s v="Clerical"/>
    <x v="0"/>
    <n v="0"/>
    <x v="0"/>
    <x v="0"/>
    <n v="35"/>
    <x v="0"/>
    <s v="Yes"/>
    <x v="1"/>
  </r>
  <r>
    <n v="13961"/>
    <s v="M"/>
    <x v="0"/>
    <s v="F"/>
    <x v="0"/>
    <n v="80000"/>
    <n v="5"/>
    <x v="4"/>
    <s v="Management"/>
    <x v="0"/>
    <n v="3"/>
    <x v="0"/>
    <x v="1"/>
    <n v="40"/>
    <x v="0"/>
    <s v="No"/>
    <x v="0"/>
  </r>
  <r>
    <n v="11897"/>
    <s v="S"/>
    <x v="1"/>
    <s v="M"/>
    <x v="1"/>
    <n v="60000"/>
    <n v="2"/>
    <x v="0"/>
    <s v="Professional"/>
    <x v="1"/>
    <n v="1"/>
    <x v="0"/>
    <x v="1"/>
    <n v="37"/>
    <x v="0"/>
    <s v="Yes"/>
    <x v="1"/>
  </r>
  <r>
    <n v="11139"/>
    <s v="S"/>
    <x v="1"/>
    <s v="F"/>
    <x v="0"/>
    <n v="30000"/>
    <n v="2"/>
    <x v="1"/>
    <s v="Clerical"/>
    <x v="1"/>
    <n v="2"/>
    <x v="2"/>
    <x v="1"/>
    <n v="67"/>
    <x v="1"/>
    <s v="No"/>
    <x v="0"/>
  </r>
  <r>
    <n v="11576"/>
    <s v="M"/>
    <x v="0"/>
    <s v="M"/>
    <x v="1"/>
    <n v="30000"/>
    <n v="1"/>
    <x v="0"/>
    <s v="Skilled Manual"/>
    <x v="0"/>
    <n v="2"/>
    <x v="0"/>
    <x v="0"/>
    <n v="41"/>
    <x v="0"/>
    <s v="Yes"/>
    <x v="1"/>
  </r>
  <r>
    <n v="19255"/>
    <s v="S"/>
    <x v="1"/>
    <s v="M"/>
    <x v="1"/>
    <n v="10000"/>
    <n v="2"/>
    <x v="1"/>
    <s v="Manual"/>
    <x v="0"/>
    <n v="1"/>
    <x v="0"/>
    <x v="0"/>
    <n v="51"/>
    <x v="0"/>
    <s v="Yes"/>
    <x v="1"/>
  </r>
  <r>
    <n v="18153"/>
    <s v="M"/>
    <x v="0"/>
    <s v="F"/>
    <x v="0"/>
    <n v="100000"/>
    <n v="2"/>
    <x v="0"/>
    <s v="Management"/>
    <x v="0"/>
    <n v="4"/>
    <x v="4"/>
    <x v="0"/>
    <n v="59"/>
    <x v="1"/>
    <s v="No"/>
    <x v="0"/>
  </r>
  <r>
    <n v="14547"/>
    <s v="M"/>
    <x v="0"/>
    <s v="M"/>
    <x v="1"/>
    <n v="10000"/>
    <n v="2"/>
    <x v="1"/>
    <s v="Manual"/>
    <x v="0"/>
    <n v="0"/>
    <x v="3"/>
    <x v="0"/>
    <n v="51"/>
    <x v="0"/>
    <s v="No"/>
    <x v="0"/>
  </r>
  <r>
    <n v="24901"/>
    <s v="S"/>
    <x v="1"/>
    <s v="M"/>
    <x v="1"/>
    <n v="110000"/>
    <n v="0"/>
    <x v="1"/>
    <s v="Management"/>
    <x v="1"/>
    <n v="3"/>
    <x v="4"/>
    <x v="1"/>
    <n v="32"/>
    <x v="0"/>
    <s v="Yes"/>
    <x v="1"/>
  </r>
  <r>
    <n v="27169"/>
    <s v="S"/>
    <x v="1"/>
    <s v="M"/>
    <x v="1"/>
    <n v="30000"/>
    <n v="0"/>
    <x v="2"/>
    <s v="Manual"/>
    <x v="0"/>
    <n v="1"/>
    <x v="1"/>
    <x v="0"/>
    <n v="34"/>
    <x v="0"/>
    <s v="Yes"/>
    <x v="1"/>
  </r>
  <r>
    <n v="14805"/>
    <s v="S"/>
    <x v="1"/>
    <s v="F"/>
    <x v="0"/>
    <n v="10000"/>
    <n v="3"/>
    <x v="3"/>
    <s v="Manual"/>
    <x v="0"/>
    <n v="2"/>
    <x v="0"/>
    <x v="0"/>
    <n v="43"/>
    <x v="0"/>
    <s v="No"/>
    <x v="0"/>
  </r>
  <r>
    <n v="15822"/>
    <s v="M"/>
    <x v="0"/>
    <s v="M"/>
    <x v="1"/>
    <n v="40000"/>
    <n v="2"/>
    <x v="0"/>
    <s v="Management"/>
    <x v="0"/>
    <n v="2"/>
    <x v="0"/>
    <x v="1"/>
    <n v="67"/>
    <x v="1"/>
    <s v="No"/>
    <x v="0"/>
  </r>
  <r>
    <n v="19389"/>
    <s v="S"/>
    <x v="1"/>
    <s v="M"/>
    <x v="1"/>
    <n v="30000"/>
    <n v="0"/>
    <x v="1"/>
    <s v="Clerical"/>
    <x v="1"/>
    <n v="1"/>
    <x v="1"/>
    <x v="0"/>
    <n v="28"/>
    <x v="2"/>
    <s v="No"/>
    <x v="0"/>
  </r>
  <r>
    <n v="17048"/>
    <s v="S"/>
    <x v="1"/>
    <s v="F"/>
    <x v="0"/>
    <n v="90000"/>
    <n v="1"/>
    <x v="4"/>
    <s v="Management"/>
    <x v="0"/>
    <n v="0"/>
    <x v="0"/>
    <x v="1"/>
    <n v="36"/>
    <x v="0"/>
    <s v="Yes"/>
    <x v="1"/>
  </r>
  <r>
    <n v="22204"/>
    <s v="M"/>
    <x v="0"/>
    <s v="M"/>
    <x v="1"/>
    <n v="110000"/>
    <n v="4"/>
    <x v="0"/>
    <s v="Management"/>
    <x v="0"/>
    <n v="3"/>
    <x v="1"/>
    <x v="1"/>
    <n v="48"/>
    <x v="0"/>
    <s v="No"/>
    <x v="0"/>
  </r>
  <r>
    <n v="12718"/>
    <s v="S"/>
    <x v="1"/>
    <s v="F"/>
    <x v="0"/>
    <n v="30000"/>
    <n v="0"/>
    <x v="1"/>
    <s v="Clerical"/>
    <x v="0"/>
    <n v="1"/>
    <x v="1"/>
    <x v="0"/>
    <n v="31"/>
    <x v="0"/>
    <s v="No"/>
    <x v="0"/>
  </r>
  <r>
    <n v="15019"/>
    <s v="S"/>
    <x v="1"/>
    <s v="F"/>
    <x v="0"/>
    <n v="30000"/>
    <n v="3"/>
    <x v="2"/>
    <s v="Skilled Manual"/>
    <x v="0"/>
    <n v="2"/>
    <x v="2"/>
    <x v="1"/>
    <n v="55"/>
    <x v="1"/>
    <s v="No"/>
    <x v="0"/>
  </r>
  <r>
    <n v="28488"/>
    <s v="S"/>
    <x v="1"/>
    <s v="M"/>
    <x v="1"/>
    <n v="20000"/>
    <n v="0"/>
    <x v="1"/>
    <s v="Manual"/>
    <x v="0"/>
    <n v="0"/>
    <x v="0"/>
    <x v="1"/>
    <n v="28"/>
    <x v="2"/>
    <s v="Yes"/>
    <x v="1"/>
  </r>
  <r>
    <n v="21891"/>
    <s v="M"/>
    <x v="0"/>
    <s v="F"/>
    <x v="0"/>
    <n v="110000"/>
    <n v="0"/>
    <x v="2"/>
    <s v="Management"/>
    <x v="0"/>
    <n v="3"/>
    <x v="4"/>
    <x v="1"/>
    <n v="34"/>
    <x v="0"/>
    <s v="Yes"/>
    <x v="1"/>
  </r>
  <r>
    <n v="27814"/>
    <s v="S"/>
    <x v="1"/>
    <s v="F"/>
    <x v="0"/>
    <n v="30000"/>
    <n v="3"/>
    <x v="1"/>
    <s v="Clerical"/>
    <x v="1"/>
    <n v="1"/>
    <x v="0"/>
    <x v="0"/>
    <n v="26"/>
    <x v="2"/>
    <s v="No"/>
    <x v="0"/>
  </r>
  <r>
    <n v="22175"/>
    <s v="M"/>
    <x v="0"/>
    <s v="F"/>
    <x v="0"/>
    <n v="30000"/>
    <n v="3"/>
    <x v="2"/>
    <s v="Skilled Manual"/>
    <x v="0"/>
    <n v="2"/>
    <x v="2"/>
    <x v="1"/>
    <n v="53"/>
    <x v="0"/>
    <s v="Yes"/>
    <x v="1"/>
  </r>
  <r>
    <n v="29447"/>
    <s v="S"/>
    <x v="1"/>
    <s v="F"/>
    <x v="0"/>
    <n v="10000"/>
    <n v="2"/>
    <x v="0"/>
    <s v="Clerical"/>
    <x v="1"/>
    <n v="1"/>
    <x v="1"/>
    <x v="0"/>
    <n v="68"/>
    <x v="1"/>
    <s v="No"/>
    <x v="0"/>
  </r>
  <r>
    <n v="19784"/>
    <s v="M"/>
    <x v="0"/>
    <s v="F"/>
    <x v="0"/>
    <n v="80000"/>
    <n v="2"/>
    <x v="2"/>
    <s v="Skilled Manual"/>
    <x v="0"/>
    <n v="2"/>
    <x v="2"/>
    <x v="1"/>
    <n v="50"/>
    <x v="0"/>
    <s v="Yes"/>
    <x v="1"/>
  </r>
  <r>
    <n v="27824"/>
    <s v="S"/>
    <x v="1"/>
    <s v="F"/>
    <x v="0"/>
    <n v="30000"/>
    <n v="3"/>
    <x v="1"/>
    <s v="Clerical"/>
    <x v="0"/>
    <n v="2"/>
    <x v="0"/>
    <x v="0"/>
    <n v="28"/>
    <x v="2"/>
    <s v="Yes"/>
    <x v="1"/>
  </r>
  <r>
    <n v="24093"/>
    <s v="S"/>
    <x v="1"/>
    <s v="F"/>
    <x v="0"/>
    <n v="80000"/>
    <n v="0"/>
    <x v="4"/>
    <s v="Skilled Manual"/>
    <x v="1"/>
    <n v="0"/>
    <x v="0"/>
    <x v="0"/>
    <n v="40"/>
    <x v="0"/>
    <s v="Yes"/>
    <x v="1"/>
  </r>
  <r>
    <n v="19618"/>
    <s v="M"/>
    <x v="0"/>
    <s v="M"/>
    <x v="1"/>
    <n v="70000"/>
    <n v="5"/>
    <x v="1"/>
    <s v="Skilled Manual"/>
    <x v="0"/>
    <n v="2"/>
    <x v="0"/>
    <x v="1"/>
    <n v="44"/>
    <x v="0"/>
    <s v="No"/>
    <x v="0"/>
  </r>
  <r>
    <n v="21561"/>
    <s v="S"/>
    <x v="1"/>
    <s v="M"/>
    <x v="1"/>
    <n v="90000"/>
    <n v="0"/>
    <x v="0"/>
    <s v="Professional"/>
    <x v="1"/>
    <n v="3"/>
    <x v="4"/>
    <x v="1"/>
    <n v="34"/>
    <x v="0"/>
    <s v="Yes"/>
    <x v="1"/>
  </r>
  <r>
    <n v="11061"/>
    <s v="M"/>
    <x v="0"/>
    <s v="M"/>
    <x v="1"/>
    <n v="70000"/>
    <n v="2"/>
    <x v="1"/>
    <s v="Skilled Manual"/>
    <x v="0"/>
    <n v="2"/>
    <x v="2"/>
    <x v="1"/>
    <n v="52"/>
    <x v="0"/>
    <s v="Yes"/>
    <x v="1"/>
  </r>
  <r>
    <n v="26651"/>
    <s v="S"/>
    <x v="1"/>
    <s v="M"/>
    <x v="1"/>
    <n v="80000"/>
    <n v="4"/>
    <x v="4"/>
    <s v="Management"/>
    <x v="0"/>
    <n v="0"/>
    <x v="0"/>
    <x v="1"/>
    <n v="36"/>
    <x v="0"/>
    <s v="Yes"/>
    <x v="1"/>
  </r>
  <r>
    <n v="21108"/>
    <s v="M"/>
    <x v="0"/>
    <s v="F"/>
    <x v="0"/>
    <n v="40000"/>
    <n v="1"/>
    <x v="0"/>
    <s v="Skilled Manual"/>
    <x v="0"/>
    <n v="1"/>
    <x v="0"/>
    <x v="0"/>
    <n v="43"/>
    <x v="0"/>
    <s v="Yes"/>
    <x v="1"/>
  </r>
  <r>
    <n v="12731"/>
    <s v="S"/>
    <x v="1"/>
    <s v="M"/>
    <x v="1"/>
    <n v="30000"/>
    <n v="0"/>
    <x v="2"/>
    <s v="Manual"/>
    <x v="1"/>
    <n v="1"/>
    <x v="3"/>
    <x v="0"/>
    <n v="32"/>
    <x v="0"/>
    <s v="No"/>
    <x v="0"/>
  </r>
  <r>
    <n v="25307"/>
    <s v="M"/>
    <x v="0"/>
    <s v="F"/>
    <x v="0"/>
    <n v="40000"/>
    <n v="1"/>
    <x v="0"/>
    <s v="Skilled Manual"/>
    <x v="0"/>
    <n v="1"/>
    <x v="3"/>
    <x v="0"/>
    <n v="32"/>
    <x v="0"/>
    <s v="Yes"/>
    <x v="1"/>
  </r>
  <r>
    <n v="14278"/>
    <s v="M"/>
    <x v="0"/>
    <s v="F"/>
    <x v="0"/>
    <n v="130000"/>
    <n v="0"/>
    <x v="4"/>
    <s v="Management"/>
    <x v="0"/>
    <n v="1"/>
    <x v="4"/>
    <x v="1"/>
    <n v="48"/>
    <x v="0"/>
    <s v="No"/>
    <x v="0"/>
  </r>
  <r>
    <n v="20711"/>
    <s v="M"/>
    <x v="0"/>
    <s v="F"/>
    <x v="0"/>
    <n v="40000"/>
    <n v="1"/>
    <x v="0"/>
    <s v="Skilled Manual"/>
    <x v="0"/>
    <n v="0"/>
    <x v="3"/>
    <x v="0"/>
    <n v="32"/>
    <x v="0"/>
    <s v="Yes"/>
    <x v="1"/>
  </r>
  <r>
    <n v="11383"/>
    <s v="M"/>
    <x v="0"/>
    <s v="F"/>
    <x v="0"/>
    <n v="30000"/>
    <n v="3"/>
    <x v="4"/>
    <s v="Clerical"/>
    <x v="0"/>
    <n v="0"/>
    <x v="0"/>
    <x v="0"/>
    <n v="46"/>
    <x v="0"/>
    <s v="No"/>
    <x v="0"/>
  </r>
  <r>
    <n v="12497"/>
    <s v="M"/>
    <x v="0"/>
    <s v="F"/>
    <x v="0"/>
    <n v="40000"/>
    <n v="1"/>
    <x v="0"/>
    <s v="Skilled Manual"/>
    <x v="0"/>
    <n v="0"/>
    <x v="0"/>
    <x v="0"/>
    <n v="42"/>
    <x v="0"/>
    <s v="No"/>
    <x v="0"/>
  </r>
  <r>
    <n v="16559"/>
    <s v="S"/>
    <x v="1"/>
    <s v="F"/>
    <x v="0"/>
    <n v="10000"/>
    <n v="2"/>
    <x v="2"/>
    <s v="Manual"/>
    <x v="0"/>
    <n v="0"/>
    <x v="0"/>
    <x v="0"/>
    <n v="36"/>
    <x v="0"/>
    <s v="Yes"/>
    <x v="1"/>
  </r>
  <r>
    <n v="11585"/>
    <s v="M"/>
    <x v="0"/>
    <s v="F"/>
    <x v="0"/>
    <n v="40000"/>
    <n v="1"/>
    <x v="0"/>
    <s v="Skilled Manual"/>
    <x v="0"/>
    <n v="0"/>
    <x v="0"/>
    <x v="0"/>
    <n v="41"/>
    <x v="0"/>
    <s v="No"/>
    <x v="0"/>
  </r>
  <r>
    <n v="20277"/>
    <s v="M"/>
    <x v="0"/>
    <s v="F"/>
    <x v="0"/>
    <n v="30000"/>
    <n v="2"/>
    <x v="1"/>
    <s v="Clerical"/>
    <x v="1"/>
    <n v="2"/>
    <x v="0"/>
    <x v="1"/>
    <n v="69"/>
    <x v="1"/>
    <s v="No"/>
    <x v="0"/>
  </r>
  <r>
    <n v="26765"/>
    <s v="S"/>
    <x v="1"/>
    <s v="F"/>
    <x v="0"/>
    <n v="70000"/>
    <n v="5"/>
    <x v="1"/>
    <s v="Skilled Manual"/>
    <x v="0"/>
    <n v="2"/>
    <x v="2"/>
    <x v="1"/>
    <n v="45"/>
    <x v="0"/>
    <s v="No"/>
    <x v="0"/>
  </r>
  <r>
    <n v="12389"/>
    <s v="S"/>
    <x v="1"/>
    <s v="M"/>
    <x v="1"/>
    <n v="30000"/>
    <n v="0"/>
    <x v="2"/>
    <s v="Manual"/>
    <x v="1"/>
    <n v="1"/>
    <x v="1"/>
    <x v="0"/>
    <n v="34"/>
    <x v="0"/>
    <s v="No"/>
    <x v="0"/>
  </r>
  <r>
    <n v="13585"/>
    <s v="M"/>
    <x v="0"/>
    <s v="F"/>
    <x v="0"/>
    <n v="80000"/>
    <n v="4"/>
    <x v="1"/>
    <s v="Professional"/>
    <x v="1"/>
    <n v="1"/>
    <x v="1"/>
    <x v="0"/>
    <n v="53"/>
    <x v="0"/>
    <s v="Yes"/>
    <x v="1"/>
  </r>
  <r>
    <n v="26385"/>
    <s v="S"/>
    <x v="1"/>
    <s v="M"/>
    <x v="1"/>
    <n v="120000"/>
    <n v="3"/>
    <x v="2"/>
    <s v="Professional"/>
    <x v="1"/>
    <n v="4"/>
    <x v="2"/>
    <x v="0"/>
    <n v="50"/>
    <x v="0"/>
    <s v="No"/>
    <x v="0"/>
  </r>
  <r>
    <n v="12236"/>
    <s v="M"/>
    <x v="0"/>
    <s v="F"/>
    <x v="0"/>
    <n v="20000"/>
    <n v="1"/>
    <x v="1"/>
    <s v="Manual"/>
    <x v="0"/>
    <n v="0"/>
    <x v="0"/>
    <x v="0"/>
    <n v="65"/>
    <x v="1"/>
    <s v="No"/>
    <x v="0"/>
  </r>
  <r>
    <n v="21560"/>
    <s v="M"/>
    <x v="0"/>
    <s v="M"/>
    <x v="1"/>
    <n v="120000"/>
    <n v="0"/>
    <x v="3"/>
    <s v="Professional"/>
    <x v="0"/>
    <n v="4"/>
    <x v="4"/>
    <x v="1"/>
    <n v="32"/>
    <x v="0"/>
    <s v="Yes"/>
    <x v="1"/>
  </r>
  <r>
    <n v="21554"/>
    <s v="S"/>
    <x v="1"/>
    <s v="F"/>
    <x v="0"/>
    <n v="80000"/>
    <n v="0"/>
    <x v="0"/>
    <s v="Professional"/>
    <x v="1"/>
    <n v="3"/>
    <x v="4"/>
    <x v="1"/>
    <n v="33"/>
    <x v="0"/>
    <s v="No"/>
    <x v="0"/>
  </r>
  <r>
    <n v="13662"/>
    <s v="S"/>
    <x v="1"/>
    <s v="M"/>
    <x v="1"/>
    <n v="20000"/>
    <n v="0"/>
    <x v="3"/>
    <s v="Manual"/>
    <x v="0"/>
    <n v="2"/>
    <x v="3"/>
    <x v="0"/>
    <n v="31"/>
    <x v="0"/>
    <s v="Yes"/>
    <x v="1"/>
  </r>
  <r>
    <n v="13089"/>
    <s v="M"/>
    <x v="0"/>
    <s v="F"/>
    <x v="0"/>
    <n v="120000"/>
    <n v="1"/>
    <x v="0"/>
    <s v="Management"/>
    <x v="0"/>
    <n v="2"/>
    <x v="0"/>
    <x v="1"/>
    <n v="46"/>
    <x v="0"/>
    <s v="Yes"/>
    <x v="1"/>
  </r>
  <r>
    <n v="14791"/>
    <s v="M"/>
    <x v="0"/>
    <s v="F"/>
    <x v="0"/>
    <n v="40000"/>
    <n v="0"/>
    <x v="0"/>
    <s v="Clerical"/>
    <x v="0"/>
    <n v="0"/>
    <x v="0"/>
    <x v="0"/>
    <n v="39"/>
    <x v="0"/>
    <s v="Yes"/>
    <x v="1"/>
  </r>
  <r>
    <n v="19331"/>
    <s v="S"/>
    <x v="1"/>
    <s v="M"/>
    <x v="1"/>
    <n v="20000"/>
    <n v="2"/>
    <x v="2"/>
    <s v="Manual"/>
    <x v="0"/>
    <n v="1"/>
    <x v="0"/>
    <x v="0"/>
    <n v="40"/>
    <x v="0"/>
    <s v="No"/>
    <x v="0"/>
  </r>
  <r>
    <n v="17754"/>
    <s v="S"/>
    <x v="1"/>
    <s v="F"/>
    <x v="0"/>
    <n v="30000"/>
    <n v="3"/>
    <x v="0"/>
    <s v="Clerical"/>
    <x v="0"/>
    <n v="0"/>
    <x v="0"/>
    <x v="0"/>
    <n v="46"/>
    <x v="0"/>
    <s v="Yes"/>
    <x v="1"/>
  </r>
  <r>
    <n v="11149"/>
    <s v="M"/>
    <x v="0"/>
    <s v="M"/>
    <x v="1"/>
    <n v="40000"/>
    <n v="2"/>
    <x v="0"/>
    <s v="Management"/>
    <x v="0"/>
    <n v="2"/>
    <x v="0"/>
    <x v="1"/>
    <n v="65"/>
    <x v="1"/>
    <s v="No"/>
    <x v="0"/>
  </r>
  <r>
    <n v="16549"/>
    <s v="S"/>
    <x v="1"/>
    <s v="F"/>
    <x v="0"/>
    <n v="30000"/>
    <n v="3"/>
    <x v="0"/>
    <s v="Clerical"/>
    <x v="0"/>
    <n v="0"/>
    <x v="0"/>
    <x v="0"/>
    <n v="47"/>
    <x v="0"/>
    <s v="Yes"/>
    <x v="1"/>
  </r>
  <r>
    <n v="24305"/>
    <s v="S"/>
    <x v="1"/>
    <s v="M"/>
    <x v="1"/>
    <n v="100000"/>
    <n v="1"/>
    <x v="0"/>
    <s v="Management"/>
    <x v="1"/>
    <n v="3"/>
    <x v="0"/>
    <x v="1"/>
    <n v="46"/>
    <x v="0"/>
    <s v="Yes"/>
    <x v="1"/>
  </r>
  <r>
    <n v="18253"/>
    <s v="M"/>
    <x v="0"/>
    <s v="F"/>
    <x v="0"/>
    <n v="80000"/>
    <n v="5"/>
    <x v="4"/>
    <s v="Management"/>
    <x v="0"/>
    <n v="3"/>
    <x v="0"/>
    <x v="1"/>
    <n v="40"/>
    <x v="0"/>
    <s v="No"/>
    <x v="0"/>
  </r>
  <r>
    <n v="20147"/>
    <s v="M"/>
    <x v="0"/>
    <s v="F"/>
    <x v="0"/>
    <n v="30000"/>
    <n v="1"/>
    <x v="0"/>
    <s v="Clerical"/>
    <x v="0"/>
    <n v="0"/>
    <x v="0"/>
    <x v="0"/>
    <n v="65"/>
    <x v="1"/>
    <s v="No"/>
    <x v="0"/>
  </r>
  <r>
    <n v="15612"/>
    <s v="S"/>
    <x v="1"/>
    <s v="M"/>
    <x v="1"/>
    <n v="30000"/>
    <n v="0"/>
    <x v="2"/>
    <s v="Manual"/>
    <x v="1"/>
    <n v="1"/>
    <x v="3"/>
    <x v="0"/>
    <n v="28"/>
    <x v="2"/>
    <s v="No"/>
    <x v="0"/>
  </r>
  <r>
    <n v="28323"/>
    <s v="S"/>
    <x v="1"/>
    <s v="M"/>
    <x v="1"/>
    <n v="70000"/>
    <n v="0"/>
    <x v="0"/>
    <s v="Professional"/>
    <x v="1"/>
    <n v="2"/>
    <x v="2"/>
    <x v="1"/>
    <n v="43"/>
    <x v="0"/>
    <s v="Yes"/>
    <x v="1"/>
  </r>
  <r>
    <n v="22634"/>
    <s v="S"/>
    <x v="1"/>
    <s v="F"/>
    <x v="0"/>
    <n v="40000"/>
    <n v="0"/>
    <x v="4"/>
    <s v="Clerical"/>
    <x v="0"/>
    <n v="0"/>
    <x v="0"/>
    <x v="0"/>
    <n v="38"/>
    <x v="0"/>
    <s v="Yes"/>
    <x v="1"/>
  </r>
  <r>
    <n v="15665"/>
    <s v="M"/>
    <x v="0"/>
    <s v="F"/>
    <x v="0"/>
    <n v="30000"/>
    <n v="0"/>
    <x v="0"/>
    <s v="Clerical"/>
    <x v="0"/>
    <n v="0"/>
    <x v="0"/>
    <x v="0"/>
    <n v="47"/>
    <x v="0"/>
    <s v="Yes"/>
    <x v="1"/>
  </r>
  <r>
    <n v="27585"/>
    <s v="M"/>
    <x v="0"/>
    <s v="F"/>
    <x v="0"/>
    <n v="90000"/>
    <n v="2"/>
    <x v="0"/>
    <s v="Professional"/>
    <x v="1"/>
    <n v="0"/>
    <x v="0"/>
    <x v="1"/>
    <n v="36"/>
    <x v="0"/>
    <s v="Yes"/>
    <x v="1"/>
  </r>
  <r>
    <n v="19748"/>
    <s v="M"/>
    <x v="0"/>
    <s v="M"/>
    <x v="1"/>
    <n v="20000"/>
    <n v="4"/>
    <x v="2"/>
    <s v="Skilled Manual"/>
    <x v="1"/>
    <n v="2"/>
    <x v="3"/>
    <x v="1"/>
    <n v="60"/>
    <x v="1"/>
    <s v="No"/>
    <x v="0"/>
  </r>
  <r>
    <n v="21974"/>
    <s v="S"/>
    <x v="1"/>
    <s v="F"/>
    <x v="0"/>
    <n v="70000"/>
    <n v="0"/>
    <x v="0"/>
    <s v="Professional"/>
    <x v="0"/>
    <n v="1"/>
    <x v="2"/>
    <x v="1"/>
    <n v="42"/>
    <x v="0"/>
    <s v="Yes"/>
    <x v="1"/>
  </r>
  <r>
    <n v="14032"/>
    <s v="M"/>
    <x v="0"/>
    <s v="M"/>
    <x v="1"/>
    <n v="70000"/>
    <n v="2"/>
    <x v="2"/>
    <s v="Skilled Manual"/>
    <x v="1"/>
    <n v="2"/>
    <x v="3"/>
    <x v="1"/>
    <n v="50"/>
    <x v="0"/>
    <s v="Yes"/>
    <x v="1"/>
  </r>
  <r>
    <n v="22610"/>
    <s v="M"/>
    <x v="0"/>
    <s v="M"/>
    <x v="1"/>
    <n v="30000"/>
    <n v="0"/>
    <x v="0"/>
    <s v="Clerical"/>
    <x v="0"/>
    <n v="0"/>
    <x v="0"/>
    <x v="0"/>
    <n v="35"/>
    <x v="0"/>
    <s v="Yes"/>
    <x v="1"/>
  </r>
  <r>
    <n v="26984"/>
    <s v="M"/>
    <x v="0"/>
    <s v="M"/>
    <x v="1"/>
    <n v="40000"/>
    <n v="1"/>
    <x v="0"/>
    <s v="Skilled Manual"/>
    <x v="0"/>
    <n v="1"/>
    <x v="0"/>
    <x v="0"/>
    <n v="32"/>
    <x v="0"/>
    <s v="Yes"/>
    <x v="1"/>
  </r>
  <r>
    <n v="18294"/>
    <s v="M"/>
    <x v="0"/>
    <s v="F"/>
    <x v="0"/>
    <n v="90000"/>
    <n v="1"/>
    <x v="0"/>
    <s v="Professional"/>
    <x v="0"/>
    <n v="1"/>
    <x v="2"/>
    <x v="1"/>
    <n v="46"/>
    <x v="0"/>
    <s v="No"/>
    <x v="0"/>
  </r>
  <r>
    <n v="28564"/>
    <s v="S"/>
    <x v="1"/>
    <s v="F"/>
    <x v="0"/>
    <n v="40000"/>
    <n v="2"/>
    <x v="1"/>
    <s v="Clerical"/>
    <x v="0"/>
    <n v="0"/>
    <x v="3"/>
    <x v="0"/>
    <n v="33"/>
    <x v="0"/>
    <s v="Yes"/>
    <x v="1"/>
  </r>
  <r>
    <n v="28521"/>
    <s v="S"/>
    <x v="1"/>
    <s v="M"/>
    <x v="1"/>
    <n v="40000"/>
    <n v="0"/>
    <x v="4"/>
    <s v="Clerical"/>
    <x v="1"/>
    <n v="0"/>
    <x v="0"/>
    <x v="0"/>
    <n v="36"/>
    <x v="0"/>
    <s v="Yes"/>
    <x v="1"/>
  </r>
  <r>
    <n v="15450"/>
    <s v="M"/>
    <x v="0"/>
    <s v="M"/>
    <x v="1"/>
    <n v="10000"/>
    <n v="1"/>
    <x v="4"/>
    <s v="Clerical"/>
    <x v="0"/>
    <n v="0"/>
    <x v="0"/>
    <x v="0"/>
    <n v="70"/>
    <x v="1"/>
    <s v="No"/>
    <x v="0"/>
  </r>
  <r>
    <n v="25681"/>
    <s v="S"/>
    <x v="1"/>
    <s v="F"/>
    <x v="0"/>
    <n v="30000"/>
    <n v="0"/>
    <x v="1"/>
    <s v="Clerical"/>
    <x v="1"/>
    <n v="1"/>
    <x v="1"/>
    <x v="0"/>
    <n v="31"/>
    <x v="0"/>
    <s v="Yes"/>
    <x v="1"/>
  </r>
  <r>
    <n v="19491"/>
    <s v="S"/>
    <x v="1"/>
    <s v="M"/>
    <x v="1"/>
    <n v="30000"/>
    <n v="2"/>
    <x v="1"/>
    <s v="Clerical"/>
    <x v="0"/>
    <n v="2"/>
    <x v="0"/>
    <x v="0"/>
    <n v="42"/>
    <x v="0"/>
    <s v="No"/>
    <x v="0"/>
  </r>
  <r>
    <n v="26415"/>
    <s v="M"/>
    <x v="0"/>
    <s v="F"/>
    <x v="0"/>
    <n v="90000"/>
    <n v="4"/>
    <x v="3"/>
    <s v="Skilled Manual"/>
    <x v="0"/>
    <n v="4"/>
    <x v="4"/>
    <x v="0"/>
    <n v="58"/>
    <x v="1"/>
    <s v="No"/>
    <x v="0"/>
  </r>
  <r>
    <n v="12821"/>
    <s v="M"/>
    <x v="0"/>
    <s v="M"/>
    <x v="1"/>
    <n v="40000"/>
    <n v="0"/>
    <x v="0"/>
    <s v="Clerical"/>
    <x v="0"/>
    <n v="0"/>
    <x v="0"/>
    <x v="0"/>
    <n v="39"/>
    <x v="0"/>
    <s v="No"/>
    <x v="0"/>
  </r>
  <r>
    <n v="15629"/>
    <s v="S"/>
    <x v="1"/>
    <s v="F"/>
    <x v="0"/>
    <n v="10000"/>
    <n v="0"/>
    <x v="3"/>
    <s v="Manual"/>
    <x v="0"/>
    <n v="2"/>
    <x v="3"/>
    <x v="0"/>
    <n v="34"/>
    <x v="0"/>
    <s v="No"/>
    <x v="0"/>
  </r>
  <r>
    <n v="27835"/>
    <s v="M"/>
    <x v="0"/>
    <s v="M"/>
    <x v="1"/>
    <n v="20000"/>
    <n v="0"/>
    <x v="3"/>
    <s v="Manual"/>
    <x v="0"/>
    <n v="2"/>
    <x v="0"/>
    <x v="0"/>
    <n v="32"/>
    <x v="0"/>
    <s v="No"/>
    <x v="0"/>
  </r>
  <r>
    <n v="11738"/>
    <s v="M"/>
    <x v="0"/>
    <s v="M"/>
    <x v="1"/>
    <n v="60000"/>
    <n v="4"/>
    <x v="0"/>
    <s v="Professional"/>
    <x v="0"/>
    <n v="0"/>
    <x v="1"/>
    <x v="2"/>
    <n v="46"/>
    <x v="0"/>
    <s v="No"/>
    <x v="0"/>
  </r>
  <r>
    <n v="25065"/>
    <s v="M"/>
    <x v="0"/>
    <s v="M"/>
    <x v="1"/>
    <n v="70000"/>
    <n v="2"/>
    <x v="3"/>
    <s v="Skilled Manual"/>
    <x v="0"/>
    <n v="2"/>
    <x v="2"/>
    <x v="2"/>
    <n v="48"/>
    <x v="0"/>
    <s v="No"/>
    <x v="0"/>
  </r>
  <r>
    <n v="26238"/>
    <s v="S"/>
    <x v="1"/>
    <s v="F"/>
    <x v="0"/>
    <n v="40000"/>
    <n v="3"/>
    <x v="1"/>
    <s v="Clerical"/>
    <x v="0"/>
    <n v="1"/>
    <x v="3"/>
    <x v="2"/>
    <n v="31"/>
    <x v="0"/>
    <s v="Yes"/>
    <x v="1"/>
  </r>
  <r>
    <n v="23707"/>
    <s v="S"/>
    <x v="1"/>
    <s v="M"/>
    <x v="1"/>
    <n v="70000"/>
    <n v="5"/>
    <x v="0"/>
    <s v="Management"/>
    <x v="0"/>
    <n v="3"/>
    <x v="4"/>
    <x v="2"/>
    <n v="60"/>
    <x v="1"/>
    <s v="Yes"/>
    <x v="1"/>
  </r>
  <r>
    <n v="27650"/>
    <s v="M"/>
    <x v="0"/>
    <s v="M"/>
    <x v="1"/>
    <n v="70000"/>
    <n v="4"/>
    <x v="2"/>
    <s v="Professional"/>
    <x v="0"/>
    <n v="0"/>
    <x v="2"/>
    <x v="2"/>
    <n v="51"/>
    <x v="0"/>
    <s v="No"/>
    <x v="0"/>
  </r>
  <r>
    <n v="24981"/>
    <s v="M"/>
    <x v="0"/>
    <s v="M"/>
    <x v="1"/>
    <n v="60000"/>
    <n v="2"/>
    <x v="1"/>
    <s v="Professional"/>
    <x v="0"/>
    <n v="2"/>
    <x v="4"/>
    <x v="2"/>
    <n v="56"/>
    <x v="1"/>
    <s v="No"/>
    <x v="0"/>
  </r>
  <r>
    <n v="20678"/>
    <s v="S"/>
    <x v="1"/>
    <s v="F"/>
    <x v="0"/>
    <n v="60000"/>
    <n v="3"/>
    <x v="0"/>
    <s v="Skilled Manual"/>
    <x v="0"/>
    <n v="1"/>
    <x v="1"/>
    <x v="2"/>
    <n v="40"/>
    <x v="0"/>
    <s v="Yes"/>
    <x v="1"/>
  </r>
  <r>
    <n v="15302"/>
    <s v="S"/>
    <x v="1"/>
    <s v="F"/>
    <x v="0"/>
    <n v="70000"/>
    <n v="1"/>
    <x v="4"/>
    <s v="Professional"/>
    <x v="0"/>
    <n v="0"/>
    <x v="1"/>
    <x v="2"/>
    <n v="34"/>
    <x v="0"/>
    <s v="Yes"/>
    <x v="1"/>
  </r>
  <r>
    <n v="26012"/>
    <s v="M"/>
    <x v="0"/>
    <s v="M"/>
    <x v="1"/>
    <n v="80000"/>
    <n v="1"/>
    <x v="1"/>
    <s v="Skilled Manual"/>
    <x v="0"/>
    <n v="1"/>
    <x v="1"/>
    <x v="2"/>
    <n v="48"/>
    <x v="0"/>
    <s v="Yes"/>
    <x v="1"/>
  </r>
  <r>
    <n v="26575"/>
    <s v="S"/>
    <x v="1"/>
    <s v="F"/>
    <x v="0"/>
    <n v="40000"/>
    <n v="0"/>
    <x v="2"/>
    <s v="Skilled Manual"/>
    <x v="1"/>
    <n v="2"/>
    <x v="3"/>
    <x v="2"/>
    <n v="31"/>
    <x v="0"/>
    <s v="Yes"/>
    <x v="1"/>
  </r>
  <r>
    <n v="15559"/>
    <s v="M"/>
    <x v="0"/>
    <s v="M"/>
    <x v="1"/>
    <n v="60000"/>
    <n v="5"/>
    <x v="0"/>
    <s v="Professional"/>
    <x v="0"/>
    <n v="1"/>
    <x v="1"/>
    <x v="2"/>
    <n v="47"/>
    <x v="0"/>
    <s v="No"/>
    <x v="0"/>
  </r>
  <r>
    <n v="19235"/>
    <s v="M"/>
    <x v="0"/>
    <s v="F"/>
    <x v="0"/>
    <n v="50000"/>
    <n v="0"/>
    <x v="4"/>
    <s v="Skilled Manual"/>
    <x v="0"/>
    <n v="0"/>
    <x v="0"/>
    <x v="2"/>
    <n v="34"/>
    <x v="0"/>
    <s v="No"/>
    <x v="0"/>
  </r>
  <r>
    <n v="15275"/>
    <s v="M"/>
    <x v="0"/>
    <s v="M"/>
    <x v="1"/>
    <n v="40000"/>
    <n v="0"/>
    <x v="1"/>
    <s v="Skilled Manual"/>
    <x v="0"/>
    <n v="1"/>
    <x v="2"/>
    <x v="2"/>
    <n v="29"/>
    <x v="2"/>
    <s v="No"/>
    <x v="0"/>
  </r>
  <r>
    <n v="20339"/>
    <s v="M"/>
    <x v="0"/>
    <s v="F"/>
    <x v="0"/>
    <n v="130000"/>
    <n v="1"/>
    <x v="0"/>
    <s v="Management"/>
    <x v="0"/>
    <n v="4"/>
    <x v="1"/>
    <x v="2"/>
    <n v="44"/>
    <x v="0"/>
    <s v="Yes"/>
    <x v="1"/>
  </r>
  <r>
    <n v="25405"/>
    <s v="M"/>
    <x v="0"/>
    <s v="M"/>
    <x v="1"/>
    <n v="70000"/>
    <n v="2"/>
    <x v="0"/>
    <s v="Skilled Manual"/>
    <x v="0"/>
    <n v="1"/>
    <x v="1"/>
    <x v="2"/>
    <n v="38"/>
    <x v="0"/>
    <s v="Yes"/>
    <x v="1"/>
  </r>
  <r>
    <n v="15940"/>
    <s v="M"/>
    <x v="0"/>
    <s v="M"/>
    <x v="1"/>
    <n v="100000"/>
    <n v="4"/>
    <x v="1"/>
    <s v="Professional"/>
    <x v="0"/>
    <n v="4"/>
    <x v="0"/>
    <x v="2"/>
    <n v="40"/>
    <x v="0"/>
    <s v="No"/>
    <x v="0"/>
  </r>
  <r>
    <n v="25074"/>
    <s v="M"/>
    <x v="0"/>
    <s v="F"/>
    <x v="0"/>
    <n v="70000"/>
    <n v="4"/>
    <x v="0"/>
    <s v="Professional"/>
    <x v="0"/>
    <n v="2"/>
    <x v="1"/>
    <x v="2"/>
    <n v="42"/>
    <x v="0"/>
    <s v="Yes"/>
    <x v="1"/>
  </r>
  <r>
    <n v="24738"/>
    <s v="M"/>
    <x v="0"/>
    <s v="F"/>
    <x v="0"/>
    <n v="40000"/>
    <n v="1"/>
    <x v="1"/>
    <s v="Clerical"/>
    <x v="0"/>
    <n v="1"/>
    <x v="3"/>
    <x v="2"/>
    <n v="51"/>
    <x v="0"/>
    <s v="Yes"/>
    <x v="1"/>
  </r>
  <r>
    <n v="16337"/>
    <s v="M"/>
    <x v="0"/>
    <s v="M"/>
    <x v="1"/>
    <n v="60000"/>
    <n v="0"/>
    <x v="1"/>
    <s v="Skilled Manual"/>
    <x v="1"/>
    <n v="2"/>
    <x v="3"/>
    <x v="2"/>
    <n v="29"/>
    <x v="2"/>
    <s v="No"/>
    <x v="0"/>
  </r>
  <r>
    <n v="24357"/>
    <s v="M"/>
    <x v="0"/>
    <s v="M"/>
    <x v="1"/>
    <n v="80000"/>
    <n v="3"/>
    <x v="0"/>
    <s v="Professional"/>
    <x v="0"/>
    <n v="1"/>
    <x v="1"/>
    <x v="2"/>
    <n v="48"/>
    <x v="0"/>
    <s v="Yes"/>
    <x v="1"/>
  </r>
  <r>
    <n v="18613"/>
    <s v="S"/>
    <x v="1"/>
    <s v="M"/>
    <x v="1"/>
    <n v="70000"/>
    <n v="0"/>
    <x v="0"/>
    <s v="Professional"/>
    <x v="1"/>
    <n v="1"/>
    <x v="1"/>
    <x v="2"/>
    <n v="37"/>
    <x v="0"/>
    <s v="Yes"/>
    <x v="1"/>
  </r>
  <r>
    <n v="12207"/>
    <s v="S"/>
    <x v="1"/>
    <s v="M"/>
    <x v="1"/>
    <n v="80000"/>
    <n v="4"/>
    <x v="0"/>
    <s v="Management"/>
    <x v="0"/>
    <n v="0"/>
    <x v="2"/>
    <x v="2"/>
    <n v="66"/>
    <x v="1"/>
    <s v="Yes"/>
    <x v="1"/>
  </r>
  <r>
    <n v="18052"/>
    <s v="M"/>
    <x v="0"/>
    <s v="F"/>
    <x v="0"/>
    <n v="60000"/>
    <n v="1"/>
    <x v="1"/>
    <s v="Skilled Manual"/>
    <x v="0"/>
    <n v="1"/>
    <x v="0"/>
    <x v="2"/>
    <n v="45"/>
    <x v="0"/>
    <s v="Yes"/>
    <x v="1"/>
  </r>
  <r>
    <n v="13353"/>
    <s v="S"/>
    <x v="1"/>
    <s v="F"/>
    <x v="0"/>
    <n v="60000"/>
    <n v="4"/>
    <x v="4"/>
    <s v="Management"/>
    <x v="0"/>
    <n v="2"/>
    <x v="4"/>
    <x v="2"/>
    <n v="61"/>
    <x v="1"/>
    <s v="Yes"/>
    <x v="1"/>
  </r>
  <r>
    <n v="19399"/>
    <s v="S"/>
    <x v="1"/>
    <s v="M"/>
    <x v="1"/>
    <n v="40000"/>
    <n v="0"/>
    <x v="0"/>
    <s v="Professional"/>
    <x v="1"/>
    <n v="1"/>
    <x v="1"/>
    <x v="2"/>
    <n v="45"/>
    <x v="0"/>
    <s v="No"/>
    <x v="0"/>
  </r>
  <r>
    <n v="16154"/>
    <s v="M"/>
    <x v="0"/>
    <s v="F"/>
    <x v="0"/>
    <n v="70000"/>
    <n v="5"/>
    <x v="0"/>
    <s v="Professional"/>
    <x v="0"/>
    <n v="2"/>
    <x v="1"/>
    <x v="2"/>
    <n v="47"/>
    <x v="0"/>
    <s v="No"/>
    <x v="0"/>
  </r>
  <r>
    <n v="22219"/>
    <s v="M"/>
    <x v="0"/>
    <s v="F"/>
    <x v="0"/>
    <n v="60000"/>
    <n v="2"/>
    <x v="2"/>
    <s v="Professional"/>
    <x v="0"/>
    <n v="2"/>
    <x v="2"/>
    <x v="2"/>
    <n v="49"/>
    <x v="0"/>
    <s v="No"/>
    <x v="0"/>
  </r>
  <r>
    <n v="17269"/>
    <s v="S"/>
    <x v="1"/>
    <s v="M"/>
    <x v="1"/>
    <n v="60000"/>
    <n v="3"/>
    <x v="0"/>
    <s v="Professional"/>
    <x v="1"/>
    <n v="0"/>
    <x v="0"/>
    <x v="2"/>
    <n v="47"/>
    <x v="0"/>
    <s v="Yes"/>
    <x v="1"/>
  </r>
  <r>
    <n v="23586"/>
    <s v="M"/>
    <x v="0"/>
    <s v="F"/>
    <x v="0"/>
    <n v="80000"/>
    <n v="0"/>
    <x v="0"/>
    <s v="Management"/>
    <x v="0"/>
    <n v="1"/>
    <x v="3"/>
    <x v="2"/>
    <n v="34"/>
    <x v="0"/>
    <s v="Yes"/>
    <x v="1"/>
  </r>
  <r>
    <n v="15740"/>
    <s v="M"/>
    <x v="0"/>
    <s v="M"/>
    <x v="1"/>
    <n v="80000"/>
    <n v="5"/>
    <x v="0"/>
    <s v="Management"/>
    <x v="0"/>
    <n v="2"/>
    <x v="3"/>
    <x v="2"/>
    <n v="64"/>
    <x v="1"/>
    <s v="No"/>
    <x v="0"/>
  </r>
  <r>
    <n v="27638"/>
    <s v="S"/>
    <x v="1"/>
    <s v="M"/>
    <x v="1"/>
    <n v="100000"/>
    <n v="1"/>
    <x v="1"/>
    <s v="Professional"/>
    <x v="1"/>
    <n v="3"/>
    <x v="3"/>
    <x v="2"/>
    <n v="44"/>
    <x v="0"/>
    <s v="No"/>
    <x v="0"/>
  </r>
  <r>
    <n v="18976"/>
    <s v="S"/>
    <x v="1"/>
    <s v="M"/>
    <x v="1"/>
    <n v="40000"/>
    <n v="4"/>
    <x v="2"/>
    <s v="Professional"/>
    <x v="0"/>
    <n v="2"/>
    <x v="4"/>
    <x v="2"/>
    <n v="62"/>
    <x v="1"/>
    <s v="Yes"/>
    <x v="1"/>
  </r>
  <r>
    <n v="19413"/>
    <s v="S"/>
    <x v="1"/>
    <s v="M"/>
    <x v="1"/>
    <n v="60000"/>
    <n v="3"/>
    <x v="0"/>
    <s v="Professional"/>
    <x v="1"/>
    <n v="1"/>
    <x v="0"/>
    <x v="2"/>
    <n v="47"/>
    <x v="0"/>
    <s v="Yes"/>
    <x v="1"/>
  </r>
  <r>
    <n v="13283"/>
    <s v="M"/>
    <x v="0"/>
    <s v="M"/>
    <x v="1"/>
    <n v="80000"/>
    <n v="3"/>
    <x v="1"/>
    <s v="Professional"/>
    <x v="1"/>
    <n v="2"/>
    <x v="0"/>
    <x v="2"/>
    <n v="49"/>
    <x v="0"/>
    <s v="Yes"/>
    <x v="1"/>
  </r>
  <r>
    <n v="17471"/>
    <s v="S"/>
    <x v="1"/>
    <s v="F"/>
    <x v="0"/>
    <n v="80000"/>
    <n v="4"/>
    <x v="4"/>
    <s v="Management"/>
    <x v="0"/>
    <n v="2"/>
    <x v="2"/>
    <x v="2"/>
    <n v="67"/>
    <x v="1"/>
    <s v="No"/>
    <x v="0"/>
  </r>
  <r>
    <n v="16791"/>
    <s v="S"/>
    <x v="1"/>
    <s v="M"/>
    <x v="1"/>
    <n v="60000"/>
    <n v="5"/>
    <x v="0"/>
    <s v="Management"/>
    <x v="0"/>
    <n v="3"/>
    <x v="4"/>
    <x v="2"/>
    <n v="59"/>
    <x v="1"/>
    <s v="Yes"/>
    <x v="1"/>
  </r>
  <r>
    <n v="15382"/>
    <s v="M"/>
    <x v="0"/>
    <s v="F"/>
    <x v="0"/>
    <n v="110000"/>
    <n v="1"/>
    <x v="0"/>
    <s v="Management"/>
    <x v="0"/>
    <n v="2"/>
    <x v="3"/>
    <x v="2"/>
    <n v="44"/>
    <x v="0"/>
    <s v="No"/>
    <x v="0"/>
  </r>
  <r>
    <n v="11641"/>
    <s v="M"/>
    <x v="0"/>
    <s v="M"/>
    <x v="1"/>
    <n v="50000"/>
    <n v="1"/>
    <x v="0"/>
    <s v="Skilled Manual"/>
    <x v="0"/>
    <n v="0"/>
    <x v="0"/>
    <x v="2"/>
    <n v="36"/>
    <x v="0"/>
    <s v="No"/>
    <x v="0"/>
  </r>
  <r>
    <n v="11935"/>
    <s v="S"/>
    <x v="1"/>
    <s v="F"/>
    <x v="0"/>
    <n v="30000"/>
    <n v="0"/>
    <x v="1"/>
    <s v="Skilled Manual"/>
    <x v="0"/>
    <n v="1"/>
    <x v="2"/>
    <x v="2"/>
    <n v="28"/>
    <x v="2"/>
    <s v="No"/>
    <x v="0"/>
  </r>
  <r>
    <n v="13233"/>
    <s v="M"/>
    <x v="0"/>
    <s v="M"/>
    <x v="1"/>
    <n v="60000"/>
    <n v="2"/>
    <x v="1"/>
    <s v="Professional"/>
    <x v="0"/>
    <n v="1"/>
    <x v="4"/>
    <x v="2"/>
    <n v="57"/>
    <x v="1"/>
    <s v="Yes"/>
    <x v="1"/>
  </r>
  <r>
    <n v="25909"/>
    <s v="M"/>
    <x v="0"/>
    <s v="M"/>
    <x v="1"/>
    <n v="60000"/>
    <n v="0"/>
    <x v="1"/>
    <s v="Skilled Manual"/>
    <x v="0"/>
    <n v="1"/>
    <x v="2"/>
    <x v="2"/>
    <n v="27"/>
    <x v="2"/>
    <s v="Yes"/>
    <x v="1"/>
  </r>
  <r>
    <n v="14092"/>
    <s v="S"/>
    <x v="1"/>
    <s v="M"/>
    <x v="1"/>
    <n v="30000"/>
    <n v="0"/>
    <x v="3"/>
    <s v="Clerical"/>
    <x v="0"/>
    <n v="2"/>
    <x v="2"/>
    <x v="2"/>
    <n v="28"/>
    <x v="2"/>
    <s v="No"/>
    <x v="0"/>
  </r>
  <r>
    <n v="29143"/>
    <s v="S"/>
    <x v="1"/>
    <s v="F"/>
    <x v="0"/>
    <n v="60000"/>
    <n v="1"/>
    <x v="0"/>
    <s v="Professional"/>
    <x v="1"/>
    <n v="1"/>
    <x v="0"/>
    <x v="2"/>
    <n v="44"/>
    <x v="0"/>
    <s v="Yes"/>
    <x v="1"/>
  </r>
  <r>
    <n v="24941"/>
    <s v="M"/>
    <x v="0"/>
    <s v="M"/>
    <x v="1"/>
    <n v="60000"/>
    <n v="3"/>
    <x v="0"/>
    <s v="Management"/>
    <x v="0"/>
    <n v="2"/>
    <x v="4"/>
    <x v="2"/>
    <n v="66"/>
    <x v="1"/>
    <s v="No"/>
    <x v="0"/>
  </r>
  <r>
    <n v="24637"/>
    <s v="M"/>
    <x v="0"/>
    <s v="M"/>
    <x v="1"/>
    <n v="40000"/>
    <n v="4"/>
    <x v="2"/>
    <s v="Professional"/>
    <x v="0"/>
    <n v="2"/>
    <x v="4"/>
    <x v="2"/>
    <n v="64"/>
    <x v="1"/>
    <s v="No"/>
    <x v="0"/>
  </r>
  <r>
    <n v="23893"/>
    <s v="M"/>
    <x v="0"/>
    <s v="M"/>
    <x v="1"/>
    <n v="50000"/>
    <n v="3"/>
    <x v="0"/>
    <s v="Skilled Manual"/>
    <x v="0"/>
    <n v="3"/>
    <x v="4"/>
    <x v="2"/>
    <n v="41"/>
    <x v="0"/>
    <s v="No"/>
    <x v="0"/>
  </r>
  <r>
    <n v="13907"/>
    <s v="S"/>
    <x v="1"/>
    <s v="F"/>
    <x v="0"/>
    <n v="80000"/>
    <n v="3"/>
    <x v="0"/>
    <s v="Skilled Manual"/>
    <x v="0"/>
    <n v="1"/>
    <x v="0"/>
    <x v="2"/>
    <n v="41"/>
    <x v="0"/>
    <s v="Yes"/>
    <x v="1"/>
  </r>
  <r>
    <n v="14900"/>
    <s v="M"/>
    <x v="0"/>
    <s v="F"/>
    <x v="0"/>
    <n v="40000"/>
    <n v="1"/>
    <x v="1"/>
    <s v="Clerical"/>
    <x v="0"/>
    <n v="1"/>
    <x v="3"/>
    <x v="2"/>
    <n v="49"/>
    <x v="0"/>
    <s v="Yes"/>
    <x v="1"/>
  </r>
  <r>
    <n v="11262"/>
    <s v="M"/>
    <x v="0"/>
    <s v="F"/>
    <x v="0"/>
    <n v="80000"/>
    <n v="4"/>
    <x v="0"/>
    <s v="Management"/>
    <x v="0"/>
    <n v="0"/>
    <x v="0"/>
    <x v="2"/>
    <n v="42"/>
    <x v="0"/>
    <s v="No"/>
    <x v="0"/>
  </r>
  <r>
    <n v="22294"/>
    <s v="S"/>
    <x v="1"/>
    <s v="F"/>
    <x v="0"/>
    <n v="70000"/>
    <n v="0"/>
    <x v="0"/>
    <s v="Professional"/>
    <x v="1"/>
    <n v="1"/>
    <x v="1"/>
    <x v="2"/>
    <n v="37"/>
    <x v="0"/>
    <s v="Yes"/>
    <x v="1"/>
  </r>
  <r>
    <n v="12195"/>
    <s v="S"/>
    <x v="1"/>
    <s v="F"/>
    <x v="0"/>
    <n v="70000"/>
    <n v="3"/>
    <x v="4"/>
    <s v="Management"/>
    <x v="0"/>
    <n v="2"/>
    <x v="3"/>
    <x v="2"/>
    <n v="52"/>
    <x v="0"/>
    <s v="No"/>
    <x v="0"/>
  </r>
  <r>
    <n v="25375"/>
    <s v="M"/>
    <x v="0"/>
    <s v="M"/>
    <x v="1"/>
    <n v="50000"/>
    <n v="1"/>
    <x v="4"/>
    <s v="Skilled Manual"/>
    <x v="0"/>
    <n v="0"/>
    <x v="3"/>
    <x v="2"/>
    <n v="34"/>
    <x v="0"/>
    <s v="No"/>
    <x v="0"/>
  </r>
  <r>
    <n v="11143"/>
    <s v="M"/>
    <x v="0"/>
    <s v="M"/>
    <x v="1"/>
    <n v="40000"/>
    <n v="0"/>
    <x v="2"/>
    <s v="Skilled Manual"/>
    <x v="0"/>
    <n v="2"/>
    <x v="2"/>
    <x v="2"/>
    <n v="29"/>
    <x v="2"/>
    <s v="No"/>
    <x v="0"/>
  </r>
  <r>
    <n v="25898"/>
    <s v="M"/>
    <x v="0"/>
    <s v="F"/>
    <x v="0"/>
    <n v="70000"/>
    <n v="2"/>
    <x v="2"/>
    <s v="Professional"/>
    <x v="0"/>
    <n v="2"/>
    <x v="1"/>
    <x v="2"/>
    <n v="53"/>
    <x v="0"/>
    <s v="No"/>
    <x v="0"/>
  </r>
  <r>
    <n v="24397"/>
    <s v="S"/>
    <x v="1"/>
    <s v="M"/>
    <x v="1"/>
    <n v="120000"/>
    <n v="2"/>
    <x v="0"/>
    <s v="Management"/>
    <x v="1"/>
    <n v="4"/>
    <x v="3"/>
    <x v="2"/>
    <n v="40"/>
    <x v="0"/>
    <s v="No"/>
    <x v="0"/>
  </r>
  <r>
    <n v="19758"/>
    <s v="S"/>
    <x v="1"/>
    <s v="M"/>
    <x v="1"/>
    <n v="60000"/>
    <n v="0"/>
    <x v="1"/>
    <s v="Skilled Manual"/>
    <x v="1"/>
    <n v="2"/>
    <x v="3"/>
    <x v="2"/>
    <n v="29"/>
    <x v="2"/>
    <s v="No"/>
    <x v="0"/>
  </r>
  <r>
    <n v="15529"/>
    <s v="M"/>
    <x v="0"/>
    <s v="M"/>
    <x v="1"/>
    <n v="60000"/>
    <n v="4"/>
    <x v="0"/>
    <s v="Professional"/>
    <x v="0"/>
    <n v="2"/>
    <x v="1"/>
    <x v="2"/>
    <n v="43"/>
    <x v="0"/>
    <s v="Yes"/>
    <x v="1"/>
  </r>
  <r>
    <n v="19884"/>
    <s v="M"/>
    <x v="0"/>
    <s v="M"/>
    <x v="1"/>
    <n v="60000"/>
    <n v="2"/>
    <x v="2"/>
    <s v="Professional"/>
    <x v="0"/>
    <n v="2"/>
    <x v="1"/>
    <x v="2"/>
    <n v="55"/>
    <x v="1"/>
    <s v="Yes"/>
    <x v="1"/>
  </r>
  <r>
    <n v="18674"/>
    <s v="S"/>
    <x v="1"/>
    <s v="F"/>
    <x v="0"/>
    <n v="80000"/>
    <n v="4"/>
    <x v="4"/>
    <s v="Skilled Manual"/>
    <x v="1"/>
    <n v="0"/>
    <x v="0"/>
    <x v="2"/>
    <n v="48"/>
    <x v="0"/>
    <s v="No"/>
    <x v="0"/>
  </r>
  <r>
    <n v="13453"/>
    <s v="M"/>
    <x v="0"/>
    <s v="F"/>
    <x v="0"/>
    <n v="130000"/>
    <n v="3"/>
    <x v="0"/>
    <s v="Management"/>
    <x v="0"/>
    <n v="3"/>
    <x v="0"/>
    <x v="2"/>
    <n v="45"/>
    <x v="0"/>
    <s v="Yes"/>
    <x v="1"/>
  </r>
  <r>
    <n v="14063"/>
    <s v="S"/>
    <x v="1"/>
    <s v="F"/>
    <x v="0"/>
    <n v="70000"/>
    <n v="0"/>
    <x v="0"/>
    <s v="Professional"/>
    <x v="1"/>
    <n v="1"/>
    <x v="0"/>
    <x v="1"/>
    <n v="42"/>
    <x v="0"/>
    <s v="Yes"/>
    <x v="1"/>
  </r>
  <r>
    <n v="27393"/>
    <s v="M"/>
    <x v="0"/>
    <s v="F"/>
    <x v="0"/>
    <n v="50000"/>
    <n v="4"/>
    <x v="0"/>
    <s v="Management"/>
    <x v="0"/>
    <n v="2"/>
    <x v="4"/>
    <x v="2"/>
    <n v="63"/>
    <x v="1"/>
    <s v="No"/>
    <x v="0"/>
  </r>
  <r>
    <n v="14417"/>
    <s v="S"/>
    <x v="1"/>
    <s v="M"/>
    <x v="1"/>
    <n v="60000"/>
    <n v="3"/>
    <x v="2"/>
    <s v="Professional"/>
    <x v="0"/>
    <n v="2"/>
    <x v="4"/>
    <x v="2"/>
    <n v="54"/>
    <x v="0"/>
    <s v="Yes"/>
    <x v="1"/>
  </r>
  <r>
    <n v="17533"/>
    <s v="M"/>
    <x v="0"/>
    <s v="M"/>
    <x v="1"/>
    <n v="40000"/>
    <n v="3"/>
    <x v="1"/>
    <s v="Professional"/>
    <x v="1"/>
    <n v="2"/>
    <x v="2"/>
    <x v="2"/>
    <n v="73"/>
    <x v="1"/>
    <s v="Yes"/>
    <x v="1"/>
  </r>
  <r>
    <n v="18580"/>
    <s v="M"/>
    <x v="0"/>
    <s v="F"/>
    <x v="0"/>
    <n v="60000"/>
    <n v="2"/>
    <x v="4"/>
    <s v="Professional"/>
    <x v="0"/>
    <n v="0"/>
    <x v="1"/>
    <x v="2"/>
    <n v="40"/>
    <x v="0"/>
    <s v="Yes"/>
    <x v="1"/>
  </r>
  <r>
    <n v="17025"/>
    <s v="S"/>
    <x v="1"/>
    <s v="M"/>
    <x v="1"/>
    <n v="50000"/>
    <n v="0"/>
    <x v="1"/>
    <s v="Skilled Manual"/>
    <x v="1"/>
    <n v="1"/>
    <x v="1"/>
    <x v="2"/>
    <n v="39"/>
    <x v="0"/>
    <s v="Yes"/>
    <x v="1"/>
  </r>
  <r>
    <n v="25293"/>
    <s v="M"/>
    <x v="0"/>
    <s v="M"/>
    <x v="1"/>
    <n v="80000"/>
    <n v="4"/>
    <x v="0"/>
    <s v="Management"/>
    <x v="0"/>
    <n v="0"/>
    <x v="3"/>
    <x v="2"/>
    <n v="42"/>
    <x v="0"/>
    <s v="No"/>
    <x v="0"/>
  </r>
  <r>
    <n v="24725"/>
    <s v="M"/>
    <x v="0"/>
    <s v="F"/>
    <x v="0"/>
    <n v="40000"/>
    <n v="3"/>
    <x v="1"/>
    <s v="Clerical"/>
    <x v="0"/>
    <n v="0"/>
    <x v="3"/>
    <x v="2"/>
    <n v="31"/>
    <x v="0"/>
    <s v="No"/>
    <x v="0"/>
  </r>
  <r>
    <n v="23200"/>
    <s v="M"/>
    <x v="0"/>
    <s v="F"/>
    <x v="0"/>
    <n v="50000"/>
    <n v="3"/>
    <x v="0"/>
    <s v="Skilled Manual"/>
    <x v="0"/>
    <n v="2"/>
    <x v="0"/>
    <x v="2"/>
    <n v="41"/>
    <x v="0"/>
    <s v="No"/>
    <x v="0"/>
  </r>
  <r>
    <n v="15895"/>
    <s v="S"/>
    <x v="1"/>
    <s v="F"/>
    <x v="0"/>
    <n v="60000"/>
    <n v="2"/>
    <x v="0"/>
    <s v="Management"/>
    <x v="0"/>
    <n v="0"/>
    <x v="4"/>
    <x v="2"/>
    <n v="58"/>
    <x v="1"/>
    <s v="No"/>
    <x v="0"/>
  </r>
  <r>
    <n v="18577"/>
    <s v="M"/>
    <x v="0"/>
    <s v="F"/>
    <x v="0"/>
    <n v="60000"/>
    <n v="0"/>
    <x v="4"/>
    <s v="Professional"/>
    <x v="0"/>
    <n v="0"/>
    <x v="0"/>
    <x v="2"/>
    <n v="40"/>
    <x v="0"/>
    <s v="No"/>
    <x v="0"/>
  </r>
  <r>
    <n v="27218"/>
    <s v="M"/>
    <x v="0"/>
    <s v="F"/>
    <x v="0"/>
    <n v="20000"/>
    <n v="2"/>
    <x v="3"/>
    <s v="Clerical"/>
    <x v="1"/>
    <n v="0"/>
    <x v="0"/>
    <x v="2"/>
    <n v="48"/>
    <x v="0"/>
    <s v="No"/>
    <x v="0"/>
  </r>
  <r>
    <n v="18560"/>
    <s v="M"/>
    <x v="0"/>
    <s v="F"/>
    <x v="0"/>
    <n v="70000"/>
    <n v="2"/>
    <x v="4"/>
    <s v="Professional"/>
    <x v="0"/>
    <n v="0"/>
    <x v="1"/>
    <x v="2"/>
    <n v="34"/>
    <x v="0"/>
    <s v="Yes"/>
    <x v="1"/>
  </r>
  <r>
    <n v="25006"/>
    <s v="S"/>
    <x v="1"/>
    <s v="F"/>
    <x v="0"/>
    <n v="30000"/>
    <n v="0"/>
    <x v="1"/>
    <s v="Skilled Manual"/>
    <x v="0"/>
    <n v="1"/>
    <x v="2"/>
    <x v="2"/>
    <n v="28"/>
    <x v="2"/>
    <s v="No"/>
    <x v="0"/>
  </r>
  <r>
    <n v="17369"/>
    <s v="S"/>
    <x v="1"/>
    <s v="M"/>
    <x v="1"/>
    <n v="30000"/>
    <n v="0"/>
    <x v="1"/>
    <s v="Skilled Manual"/>
    <x v="0"/>
    <n v="1"/>
    <x v="2"/>
    <x v="2"/>
    <n v="27"/>
    <x v="2"/>
    <s v="No"/>
    <x v="0"/>
  </r>
  <r>
    <n v="14495"/>
    <s v="M"/>
    <x v="0"/>
    <s v="M"/>
    <x v="1"/>
    <n v="40000"/>
    <n v="3"/>
    <x v="1"/>
    <s v="Professional"/>
    <x v="1"/>
    <n v="2"/>
    <x v="2"/>
    <x v="2"/>
    <n v="54"/>
    <x v="0"/>
    <s v="Yes"/>
    <x v="1"/>
  </r>
  <r>
    <n v="18847"/>
    <s v="M"/>
    <x v="0"/>
    <s v="F"/>
    <x v="0"/>
    <n v="60000"/>
    <n v="2"/>
    <x v="4"/>
    <s v="Management"/>
    <x v="0"/>
    <n v="2"/>
    <x v="2"/>
    <x v="2"/>
    <n v="70"/>
    <x v="1"/>
    <s v="No"/>
    <x v="0"/>
  </r>
  <r>
    <n v="14754"/>
    <s v="M"/>
    <x v="0"/>
    <s v="M"/>
    <x v="1"/>
    <n v="40000"/>
    <n v="1"/>
    <x v="1"/>
    <s v="Clerical"/>
    <x v="0"/>
    <n v="1"/>
    <x v="3"/>
    <x v="2"/>
    <n v="48"/>
    <x v="0"/>
    <s v="Yes"/>
    <x v="1"/>
  </r>
  <r>
    <n v="23378"/>
    <s v="M"/>
    <x v="0"/>
    <s v="M"/>
    <x v="1"/>
    <n v="70000"/>
    <n v="1"/>
    <x v="1"/>
    <s v="Skilled Manual"/>
    <x v="0"/>
    <n v="1"/>
    <x v="1"/>
    <x v="2"/>
    <n v="44"/>
    <x v="0"/>
    <s v="Yes"/>
    <x v="1"/>
  </r>
  <r>
    <n v="26452"/>
    <s v="S"/>
    <x v="1"/>
    <s v="M"/>
    <x v="1"/>
    <n v="50000"/>
    <n v="3"/>
    <x v="4"/>
    <s v="Management"/>
    <x v="0"/>
    <n v="2"/>
    <x v="4"/>
    <x v="2"/>
    <n v="69"/>
    <x v="1"/>
    <s v="No"/>
    <x v="0"/>
  </r>
  <r>
    <n v="20370"/>
    <s v="M"/>
    <x v="0"/>
    <s v="M"/>
    <x v="1"/>
    <n v="70000"/>
    <n v="3"/>
    <x v="3"/>
    <s v="Skilled Manual"/>
    <x v="0"/>
    <n v="2"/>
    <x v="2"/>
    <x v="2"/>
    <n v="52"/>
    <x v="0"/>
    <s v="No"/>
    <x v="0"/>
  </r>
  <r>
    <n v="20528"/>
    <s v="M"/>
    <x v="0"/>
    <s v="M"/>
    <x v="1"/>
    <n v="40000"/>
    <n v="2"/>
    <x v="3"/>
    <s v="Skilled Manual"/>
    <x v="0"/>
    <n v="2"/>
    <x v="1"/>
    <x v="2"/>
    <n v="55"/>
    <x v="1"/>
    <s v="No"/>
    <x v="0"/>
  </r>
  <r>
    <n v="23549"/>
    <s v="S"/>
    <x v="1"/>
    <s v="M"/>
    <x v="1"/>
    <n v="30000"/>
    <n v="0"/>
    <x v="2"/>
    <s v="Skilled Manual"/>
    <x v="0"/>
    <n v="2"/>
    <x v="2"/>
    <x v="2"/>
    <n v="30"/>
    <x v="2"/>
    <s v="No"/>
    <x v="0"/>
  </r>
  <r>
    <n v="21751"/>
    <s v="M"/>
    <x v="0"/>
    <s v="M"/>
    <x v="1"/>
    <n v="60000"/>
    <n v="3"/>
    <x v="4"/>
    <s v="Management"/>
    <x v="0"/>
    <n v="2"/>
    <x v="3"/>
    <x v="2"/>
    <n v="63"/>
    <x v="1"/>
    <s v="No"/>
    <x v="0"/>
  </r>
  <r>
    <n v="21266"/>
    <s v="S"/>
    <x v="1"/>
    <s v="F"/>
    <x v="0"/>
    <n v="80000"/>
    <n v="0"/>
    <x v="0"/>
    <s v="Management"/>
    <x v="0"/>
    <n v="1"/>
    <x v="3"/>
    <x v="2"/>
    <n v="34"/>
    <x v="0"/>
    <s v="Yes"/>
    <x v="1"/>
  </r>
  <r>
    <n v="13388"/>
    <s v="S"/>
    <x v="1"/>
    <s v="M"/>
    <x v="1"/>
    <n v="60000"/>
    <n v="2"/>
    <x v="1"/>
    <s v="Professional"/>
    <x v="0"/>
    <n v="1"/>
    <x v="4"/>
    <x v="2"/>
    <n v="56"/>
    <x v="1"/>
    <s v="No"/>
    <x v="0"/>
  </r>
  <r>
    <n v="18752"/>
    <s v="S"/>
    <x v="1"/>
    <s v="F"/>
    <x v="0"/>
    <n v="40000"/>
    <n v="0"/>
    <x v="2"/>
    <s v="Skilled Manual"/>
    <x v="0"/>
    <n v="1"/>
    <x v="2"/>
    <x v="2"/>
    <n v="31"/>
    <x v="0"/>
    <s v="No"/>
    <x v="0"/>
  </r>
  <r>
    <n v="16917"/>
    <s v="M"/>
    <x v="0"/>
    <s v="M"/>
    <x v="1"/>
    <n v="120000"/>
    <n v="1"/>
    <x v="0"/>
    <s v="Management"/>
    <x v="0"/>
    <n v="4"/>
    <x v="0"/>
    <x v="2"/>
    <n v="38"/>
    <x v="0"/>
    <s v="No"/>
    <x v="0"/>
  </r>
  <r>
    <n v="15313"/>
    <s v="M"/>
    <x v="0"/>
    <s v="M"/>
    <x v="1"/>
    <n v="60000"/>
    <n v="4"/>
    <x v="0"/>
    <s v="Management"/>
    <x v="0"/>
    <n v="2"/>
    <x v="1"/>
    <x v="2"/>
    <n v="59"/>
    <x v="1"/>
    <s v="No"/>
    <x v="0"/>
  </r>
  <r>
    <n v="25329"/>
    <s v="S"/>
    <x v="1"/>
    <s v="F"/>
    <x v="0"/>
    <n v="40000"/>
    <n v="3"/>
    <x v="1"/>
    <s v="Clerical"/>
    <x v="1"/>
    <n v="2"/>
    <x v="0"/>
    <x v="2"/>
    <n v="32"/>
    <x v="0"/>
    <s v="No"/>
    <x v="0"/>
  </r>
  <r>
    <n v="20380"/>
    <s v="M"/>
    <x v="0"/>
    <s v="F"/>
    <x v="0"/>
    <n v="60000"/>
    <n v="3"/>
    <x v="4"/>
    <s v="Management"/>
    <x v="0"/>
    <n v="2"/>
    <x v="4"/>
    <x v="2"/>
    <n v="69"/>
    <x v="1"/>
    <s v="No"/>
    <x v="0"/>
  </r>
  <r>
    <n v="23089"/>
    <s v="M"/>
    <x v="0"/>
    <s v="M"/>
    <x v="1"/>
    <n v="40000"/>
    <n v="0"/>
    <x v="1"/>
    <s v="Skilled Manual"/>
    <x v="0"/>
    <n v="1"/>
    <x v="2"/>
    <x v="2"/>
    <n v="28"/>
    <x v="2"/>
    <s v="No"/>
    <x v="0"/>
  </r>
  <r>
    <n v="13749"/>
    <s v="M"/>
    <x v="0"/>
    <s v="M"/>
    <x v="1"/>
    <n v="80000"/>
    <n v="4"/>
    <x v="4"/>
    <s v="Skilled Manual"/>
    <x v="0"/>
    <n v="0"/>
    <x v="3"/>
    <x v="2"/>
    <n v="47"/>
    <x v="0"/>
    <s v="No"/>
    <x v="0"/>
  </r>
  <r>
    <n v="24943"/>
    <s v="M"/>
    <x v="0"/>
    <s v="M"/>
    <x v="1"/>
    <n v="60000"/>
    <n v="3"/>
    <x v="0"/>
    <s v="Management"/>
    <x v="0"/>
    <n v="2"/>
    <x v="4"/>
    <x v="2"/>
    <n v="66"/>
    <x v="1"/>
    <s v="No"/>
    <x v="0"/>
  </r>
  <r>
    <n v="28667"/>
    <s v="S"/>
    <x v="1"/>
    <s v="M"/>
    <x v="1"/>
    <n v="70000"/>
    <n v="2"/>
    <x v="0"/>
    <s v="Skilled Manual"/>
    <x v="1"/>
    <n v="1"/>
    <x v="0"/>
    <x v="2"/>
    <n v="37"/>
    <x v="0"/>
    <s v="Yes"/>
    <x v="1"/>
  </r>
  <r>
    <n v="15194"/>
    <s v="S"/>
    <x v="1"/>
    <s v="M"/>
    <x v="1"/>
    <n v="120000"/>
    <n v="2"/>
    <x v="0"/>
    <s v="Management"/>
    <x v="1"/>
    <n v="3"/>
    <x v="0"/>
    <x v="2"/>
    <n v="39"/>
    <x v="0"/>
    <s v="Yes"/>
    <x v="1"/>
  </r>
  <r>
    <n v="17436"/>
    <s v="M"/>
    <x v="0"/>
    <s v="M"/>
    <x v="1"/>
    <n v="60000"/>
    <n v="2"/>
    <x v="2"/>
    <s v="Professional"/>
    <x v="1"/>
    <n v="2"/>
    <x v="3"/>
    <x v="2"/>
    <n v="51"/>
    <x v="0"/>
    <s v="No"/>
    <x v="0"/>
  </r>
  <r>
    <n v="18935"/>
    <s v="M"/>
    <x v="0"/>
    <s v="F"/>
    <x v="0"/>
    <n v="130000"/>
    <n v="0"/>
    <x v="4"/>
    <s v="Management"/>
    <x v="0"/>
    <n v="3"/>
    <x v="3"/>
    <x v="2"/>
    <n v="40"/>
    <x v="0"/>
    <s v="No"/>
    <x v="0"/>
  </r>
  <r>
    <n v="16871"/>
    <s v="M"/>
    <x v="0"/>
    <s v="F"/>
    <x v="0"/>
    <n v="90000"/>
    <n v="2"/>
    <x v="2"/>
    <s v="Professional"/>
    <x v="0"/>
    <n v="1"/>
    <x v="4"/>
    <x v="2"/>
    <n v="51"/>
    <x v="0"/>
    <s v="Yes"/>
    <x v="1"/>
  </r>
  <r>
    <n v="12100"/>
    <s v="S"/>
    <x v="1"/>
    <s v="M"/>
    <x v="1"/>
    <n v="60000"/>
    <n v="2"/>
    <x v="0"/>
    <s v="Management"/>
    <x v="0"/>
    <n v="0"/>
    <x v="4"/>
    <x v="2"/>
    <n v="57"/>
    <x v="1"/>
    <s v="No"/>
    <x v="0"/>
  </r>
  <r>
    <n v="23158"/>
    <s v="M"/>
    <x v="0"/>
    <s v="F"/>
    <x v="0"/>
    <n v="60000"/>
    <n v="1"/>
    <x v="4"/>
    <s v="Professional"/>
    <x v="1"/>
    <n v="0"/>
    <x v="0"/>
    <x v="2"/>
    <n v="35"/>
    <x v="0"/>
    <s v="Yes"/>
    <x v="1"/>
  </r>
  <r>
    <n v="18545"/>
    <s v="M"/>
    <x v="0"/>
    <s v="M"/>
    <x v="1"/>
    <n v="40000"/>
    <n v="4"/>
    <x v="2"/>
    <s v="Professional"/>
    <x v="1"/>
    <n v="2"/>
    <x v="4"/>
    <x v="2"/>
    <n v="61"/>
    <x v="1"/>
    <s v="Yes"/>
    <x v="1"/>
  </r>
  <r>
    <n v="18391"/>
    <s v="S"/>
    <x v="1"/>
    <s v="F"/>
    <x v="0"/>
    <n v="80000"/>
    <n v="5"/>
    <x v="1"/>
    <s v="Professional"/>
    <x v="0"/>
    <n v="2"/>
    <x v="2"/>
    <x v="2"/>
    <n v="44"/>
    <x v="0"/>
    <s v="No"/>
    <x v="0"/>
  </r>
  <r>
    <n v="19812"/>
    <s v="S"/>
    <x v="1"/>
    <s v="F"/>
    <x v="0"/>
    <n v="70000"/>
    <n v="2"/>
    <x v="1"/>
    <s v="Professional"/>
    <x v="0"/>
    <n v="0"/>
    <x v="2"/>
    <x v="2"/>
    <n v="49"/>
    <x v="0"/>
    <s v="Yes"/>
    <x v="1"/>
  </r>
  <r>
    <n v="27660"/>
    <s v="M"/>
    <x v="0"/>
    <s v="M"/>
    <x v="1"/>
    <n v="80000"/>
    <n v="4"/>
    <x v="4"/>
    <s v="Management"/>
    <x v="0"/>
    <n v="2"/>
    <x v="2"/>
    <x v="2"/>
    <n v="70"/>
    <x v="1"/>
    <s v="No"/>
    <x v="0"/>
  </r>
  <r>
    <n v="18058"/>
    <s v="S"/>
    <x v="1"/>
    <s v="F"/>
    <x v="0"/>
    <n v="20000"/>
    <n v="3"/>
    <x v="2"/>
    <s v="Skilled Manual"/>
    <x v="0"/>
    <n v="2"/>
    <x v="1"/>
    <x v="2"/>
    <n v="78"/>
    <x v="1"/>
    <s v="No"/>
    <x v="0"/>
  </r>
  <r>
    <n v="20343"/>
    <s v="M"/>
    <x v="0"/>
    <s v="F"/>
    <x v="0"/>
    <n v="90000"/>
    <n v="4"/>
    <x v="1"/>
    <s v="Professional"/>
    <x v="0"/>
    <n v="1"/>
    <x v="3"/>
    <x v="2"/>
    <n v="45"/>
    <x v="0"/>
    <s v="No"/>
    <x v="0"/>
  </r>
  <r>
    <n v="28997"/>
    <s v="S"/>
    <x v="1"/>
    <s v="M"/>
    <x v="1"/>
    <n v="40000"/>
    <n v="2"/>
    <x v="2"/>
    <s v="Professional"/>
    <x v="1"/>
    <n v="1"/>
    <x v="1"/>
    <x v="2"/>
    <n v="58"/>
    <x v="1"/>
    <s v="Yes"/>
    <x v="1"/>
  </r>
  <r>
    <n v="24398"/>
    <s v="M"/>
    <x v="0"/>
    <s v="M"/>
    <x v="1"/>
    <n v="130000"/>
    <n v="1"/>
    <x v="4"/>
    <s v="Management"/>
    <x v="0"/>
    <n v="4"/>
    <x v="0"/>
    <x v="2"/>
    <n v="41"/>
    <x v="0"/>
    <s v="No"/>
    <x v="0"/>
  </r>
  <r>
    <n v="19002"/>
    <s v="M"/>
    <x v="0"/>
    <s v="F"/>
    <x v="0"/>
    <n v="60000"/>
    <n v="2"/>
    <x v="1"/>
    <s v="Professional"/>
    <x v="0"/>
    <n v="1"/>
    <x v="1"/>
    <x v="2"/>
    <n v="57"/>
    <x v="1"/>
    <s v="Yes"/>
    <x v="1"/>
  </r>
  <r>
    <n v="28609"/>
    <s v="M"/>
    <x v="0"/>
    <s v="M"/>
    <x v="1"/>
    <n v="30000"/>
    <n v="2"/>
    <x v="2"/>
    <s v="Skilled Manual"/>
    <x v="1"/>
    <n v="2"/>
    <x v="0"/>
    <x v="2"/>
    <n v="49"/>
    <x v="0"/>
    <s v="No"/>
    <x v="0"/>
  </r>
  <r>
    <n v="29231"/>
    <s v="S"/>
    <x v="1"/>
    <s v="M"/>
    <x v="1"/>
    <n v="80000"/>
    <n v="4"/>
    <x v="1"/>
    <s v="Professional"/>
    <x v="1"/>
    <n v="2"/>
    <x v="0"/>
    <x v="2"/>
    <n v="43"/>
    <x v="0"/>
    <s v="No"/>
    <x v="0"/>
  </r>
  <r>
    <n v="18858"/>
    <s v="S"/>
    <x v="1"/>
    <s v="M"/>
    <x v="1"/>
    <n v="60000"/>
    <n v="2"/>
    <x v="3"/>
    <s v="Skilled Manual"/>
    <x v="0"/>
    <n v="2"/>
    <x v="2"/>
    <x v="2"/>
    <n v="52"/>
    <x v="0"/>
    <s v="Yes"/>
    <x v="1"/>
  </r>
  <r>
    <n v="20000"/>
    <s v="M"/>
    <x v="0"/>
    <s v="M"/>
    <x v="1"/>
    <n v="60000"/>
    <n v="1"/>
    <x v="4"/>
    <s v="Professional"/>
    <x v="0"/>
    <n v="0"/>
    <x v="0"/>
    <x v="2"/>
    <n v="35"/>
    <x v="0"/>
    <s v="Yes"/>
    <x v="1"/>
  </r>
  <r>
    <n v="25261"/>
    <s v="M"/>
    <x v="0"/>
    <s v="M"/>
    <x v="1"/>
    <n v="40000"/>
    <n v="0"/>
    <x v="2"/>
    <s v="Skilled Manual"/>
    <x v="0"/>
    <n v="2"/>
    <x v="2"/>
    <x v="2"/>
    <n v="27"/>
    <x v="2"/>
    <s v="No"/>
    <x v="0"/>
  </r>
  <r>
    <n v="17458"/>
    <s v="S"/>
    <x v="1"/>
    <s v="M"/>
    <x v="1"/>
    <n v="70000"/>
    <n v="3"/>
    <x v="2"/>
    <s v="Professional"/>
    <x v="0"/>
    <n v="0"/>
    <x v="2"/>
    <x v="2"/>
    <n v="52"/>
    <x v="0"/>
    <s v="Yes"/>
    <x v="1"/>
  </r>
  <r>
    <n v="11644"/>
    <s v="S"/>
    <x v="1"/>
    <s v="M"/>
    <x v="1"/>
    <n v="40000"/>
    <n v="2"/>
    <x v="0"/>
    <s v="Skilled Manual"/>
    <x v="0"/>
    <n v="0"/>
    <x v="1"/>
    <x v="2"/>
    <n v="36"/>
    <x v="0"/>
    <s v="No"/>
    <x v="0"/>
  </r>
  <r>
    <n v="16145"/>
    <s v="S"/>
    <x v="1"/>
    <s v="F"/>
    <x v="0"/>
    <n v="70000"/>
    <n v="5"/>
    <x v="4"/>
    <s v="Professional"/>
    <x v="0"/>
    <n v="3"/>
    <x v="4"/>
    <x v="2"/>
    <n v="46"/>
    <x v="0"/>
    <s v="Yes"/>
    <x v="1"/>
  </r>
  <r>
    <n v="16890"/>
    <s v="M"/>
    <x v="0"/>
    <s v="M"/>
    <x v="1"/>
    <n v="60000"/>
    <n v="3"/>
    <x v="3"/>
    <s v="Skilled Manual"/>
    <x v="0"/>
    <n v="2"/>
    <x v="2"/>
    <x v="2"/>
    <n v="52"/>
    <x v="0"/>
    <s v="Yes"/>
    <x v="1"/>
  </r>
  <r>
    <n v="25983"/>
    <s v="M"/>
    <x v="0"/>
    <s v="M"/>
    <x v="1"/>
    <n v="70000"/>
    <n v="0"/>
    <x v="0"/>
    <s v="Professional"/>
    <x v="1"/>
    <n v="1"/>
    <x v="0"/>
    <x v="2"/>
    <n v="43"/>
    <x v="0"/>
    <s v="No"/>
    <x v="0"/>
  </r>
  <r>
    <n v="14633"/>
    <s v="M"/>
    <x v="0"/>
    <s v="M"/>
    <x v="1"/>
    <n v="60000"/>
    <n v="1"/>
    <x v="1"/>
    <s v="Skilled Manual"/>
    <x v="0"/>
    <n v="1"/>
    <x v="1"/>
    <x v="2"/>
    <n v="44"/>
    <x v="0"/>
    <s v="No"/>
    <x v="0"/>
  </r>
  <r>
    <n v="22994"/>
    <s v="M"/>
    <x v="0"/>
    <s v="F"/>
    <x v="0"/>
    <n v="80000"/>
    <n v="0"/>
    <x v="0"/>
    <s v="Management"/>
    <x v="0"/>
    <n v="1"/>
    <x v="3"/>
    <x v="2"/>
    <n v="34"/>
    <x v="0"/>
    <s v="Yes"/>
    <x v="1"/>
  </r>
  <r>
    <n v="22983"/>
    <s v="S"/>
    <x v="1"/>
    <s v="F"/>
    <x v="0"/>
    <n v="30000"/>
    <n v="0"/>
    <x v="3"/>
    <s v="Clerical"/>
    <x v="0"/>
    <n v="2"/>
    <x v="2"/>
    <x v="2"/>
    <n v="27"/>
    <x v="2"/>
    <s v="No"/>
    <x v="0"/>
  </r>
  <r>
    <n v="25184"/>
    <s v="S"/>
    <x v="1"/>
    <s v="M"/>
    <x v="1"/>
    <n v="110000"/>
    <n v="1"/>
    <x v="1"/>
    <s v="Professional"/>
    <x v="0"/>
    <n v="4"/>
    <x v="2"/>
    <x v="2"/>
    <n v="45"/>
    <x v="0"/>
    <s v="Yes"/>
    <x v="1"/>
  </r>
  <r>
    <n v="14469"/>
    <s v="M"/>
    <x v="0"/>
    <s v="F"/>
    <x v="0"/>
    <n v="100000"/>
    <n v="3"/>
    <x v="1"/>
    <s v="Professional"/>
    <x v="0"/>
    <n v="4"/>
    <x v="3"/>
    <x v="2"/>
    <n v="45"/>
    <x v="0"/>
    <s v="No"/>
    <x v="0"/>
  </r>
  <r>
    <n v="11538"/>
    <s v="S"/>
    <x v="1"/>
    <s v="F"/>
    <x v="0"/>
    <n v="60000"/>
    <n v="4"/>
    <x v="4"/>
    <s v="Skilled Manual"/>
    <x v="1"/>
    <n v="0"/>
    <x v="0"/>
    <x v="2"/>
    <n v="47"/>
    <x v="0"/>
    <s v="Yes"/>
    <x v="1"/>
  </r>
  <r>
    <n v="16245"/>
    <s v="S"/>
    <x v="1"/>
    <s v="F"/>
    <x v="0"/>
    <n v="80000"/>
    <n v="4"/>
    <x v="4"/>
    <s v="Skilled Manual"/>
    <x v="0"/>
    <n v="0"/>
    <x v="3"/>
    <x v="2"/>
    <n v="47"/>
    <x v="0"/>
    <s v="No"/>
    <x v="0"/>
  </r>
  <r>
    <n v="17858"/>
    <s v="M"/>
    <x v="0"/>
    <s v="M"/>
    <x v="1"/>
    <n v="40000"/>
    <n v="4"/>
    <x v="2"/>
    <s v="Skilled Manual"/>
    <x v="0"/>
    <n v="2"/>
    <x v="1"/>
    <x v="2"/>
    <n v="44"/>
    <x v="0"/>
    <s v="Yes"/>
    <x v="1"/>
  </r>
  <r>
    <n v="25347"/>
    <s v="S"/>
    <x v="1"/>
    <s v="F"/>
    <x v="0"/>
    <n v="20000"/>
    <n v="3"/>
    <x v="3"/>
    <s v="Clerical"/>
    <x v="1"/>
    <n v="2"/>
    <x v="0"/>
    <x v="2"/>
    <n v="49"/>
    <x v="0"/>
    <s v="No"/>
    <x v="0"/>
  </r>
  <r>
    <n v="15814"/>
    <s v="S"/>
    <x v="1"/>
    <s v="F"/>
    <x v="0"/>
    <n v="40000"/>
    <n v="0"/>
    <x v="2"/>
    <s v="Skilled Manual"/>
    <x v="0"/>
    <n v="1"/>
    <x v="2"/>
    <x v="2"/>
    <n v="30"/>
    <x v="2"/>
    <s v="No"/>
    <x v="0"/>
  </r>
  <r>
    <n v="11259"/>
    <s v="M"/>
    <x v="0"/>
    <s v="F"/>
    <x v="0"/>
    <n v="100000"/>
    <n v="4"/>
    <x v="1"/>
    <s v="Professional"/>
    <x v="0"/>
    <n v="4"/>
    <x v="1"/>
    <x v="2"/>
    <n v="41"/>
    <x v="0"/>
    <s v="Yes"/>
    <x v="1"/>
  </r>
  <r>
    <n v="11200"/>
    <s v="M"/>
    <x v="0"/>
    <s v="M"/>
    <x v="1"/>
    <n v="70000"/>
    <n v="4"/>
    <x v="0"/>
    <s v="Management"/>
    <x v="0"/>
    <n v="1"/>
    <x v="3"/>
    <x v="2"/>
    <n v="58"/>
    <x v="1"/>
    <s v="No"/>
    <x v="0"/>
  </r>
  <r>
    <n v="25101"/>
    <s v="M"/>
    <x v="0"/>
    <s v="M"/>
    <x v="1"/>
    <n v="60000"/>
    <n v="5"/>
    <x v="0"/>
    <s v="Professional"/>
    <x v="0"/>
    <n v="1"/>
    <x v="1"/>
    <x v="2"/>
    <n v="47"/>
    <x v="0"/>
    <s v="No"/>
    <x v="0"/>
  </r>
  <r>
    <n v="21801"/>
    <s v="M"/>
    <x v="0"/>
    <s v="F"/>
    <x v="0"/>
    <n v="70000"/>
    <n v="4"/>
    <x v="1"/>
    <s v="Professional"/>
    <x v="0"/>
    <n v="1"/>
    <x v="3"/>
    <x v="2"/>
    <n v="55"/>
    <x v="1"/>
    <s v="No"/>
    <x v="0"/>
  </r>
  <r>
    <n v="25943"/>
    <s v="S"/>
    <x v="1"/>
    <s v="F"/>
    <x v="0"/>
    <n v="70000"/>
    <n v="0"/>
    <x v="1"/>
    <s v="Skilled Manual"/>
    <x v="1"/>
    <n v="2"/>
    <x v="0"/>
    <x v="2"/>
    <n v="27"/>
    <x v="2"/>
    <s v="Yes"/>
    <x v="1"/>
  </r>
  <r>
    <n v="22127"/>
    <s v="M"/>
    <x v="0"/>
    <s v="M"/>
    <x v="1"/>
    <n v="60000"/>
    <n v="3"/>
    <x v="4"/>
    <s v="Management"/>
    <x v="0"/>
    <n v="2"/>
    <x v="3"/>
    <x v="2"/>
    <n v="67"/>
    <x v="1"/>
    <s v="No"/>
    <x v="0"/>
  </r>
  <r>
    <n v="20414"/>
    <s v="M"/>
    <x v="0"/>
    <s v="F"/>
    <x v="0"/>
    <n v="60000"/>
    <n v="0"/>
    <x v="1"/>
    <s v="Skilled Manual"/>
    <x v="0"/>
    <n v="2"/>
    <x v="2"/>
    <x v="2"/>
    <n v="29"/>
    <x v="2"/>
    <s v="No"/>
    <x v="0"/>
  </r>
  <r>
    <n v="23672"/>
    <s v="M"/>
    <x v="0"/>
    <s v="F"/>
    <x v="0"/>
    <n v="60000"/>
    <n v="3"/>
    <x v="4"/>
    <s v="Management"/>
    <x v="0"/>
    <n v="2"/>
    <x v="3"/>
    <x v="2"/>
    <n v="67"/>
    <x v="1"/>
    <s v="No"/>
    <x v="0"/>
  </r>
  <r>
    <n v="29255"/>
    <s v="S"/>
    <x v="1"/>
    <s v="M"/>
    <x v="1"/>
    <n v="80000"/>
    <n v="3"/>
    <x v="1"/>
    <s v="Professional"/>
    <x v="1"/>
    <n v="1"/>
    <x v="3"/>
    <x v="2"/>
    <n v="51"/>
    <x v="0"/>
    <s v="Yes"/>
    <x v="1"/>
  </r>
  <r>
    <n v="28815"/>
    <s v="M"/>
    <x v="0"/>
    <s v="F"/>
    <x v="0"/>
    <n v="50000"/>
    <n v="1"/>
    <x v="4"/>
    <s v="Skilled Manual"/>
    <x v="0"/>
    <n v="0"/>
    <x v="0"/>
    <x v="2"/>
    <n v="35"/>
    <x v="0"/>
    <s v="No"/>
    <x v="0"/>
  </r>
  <r>
    <n v="27753"/>
    <s v="M"/>
    <x v="0"/>
    <s v="M"/>
    <x v="1"/>
    <n v="40000"/>
    <n v="0"/>
    <x v="2"/>
    <s v="Skilled Manual"/>
    <x v="1"/>
    <n v="2"/>
    <x v="3"/>
    <x v="2"/>
    <n v="30"/>
    <x v="2"/>
    <s v="No"/>
    <x v="0"/>
  </r>
  <r>
    <n v="27643"/>
    <s v="S"/>
    <x v="1"/>
    <s v="M"/>
    <x v="1"/>
    <n v="70000"/>
    <n v="5"/>
    <x v="1"/>
    <s v="Professional"/>
    <x v="0"/>
    <n v="3"/>
    <x v="1"/>
    <x v="2"/>
    <n v="44"/>
    <x v="0"/>
    <s v="No"/>
    <x v="0"/>
  </r>
  <r>
    <n v="13754"/>
    <s v="S"/>
    <x v="1"/>
    <s v="F"/>
    <x v="0"/>
    <n v="80000"/>
    <n v="4"/>
    <x v="4"/>
    <s v="Skilled Manual"/>
    <x v="0"/>
    <n v="0"/>
    <x v="3"/>
    <x v="2"/>
    <n v="48"/>
    <x v="0"/>
    <s v="No"/>
    <x v="0"/>
  </r>
  <r>
    <n v="22088"/>
    <s v="M"/>
    <x v="0"/>
    <s v="F"/>
    <x v="0"/>
    <n v="130000"/>
    <n v="1"/>
    <x v="0"/>
    <s v="Management"/>
    <x v="0"/>
    <n v="2"/>
    <x v="0"/>
    <x v="2"/>
    <n v="45"/>
    <x v="0"/>
    <s v="Yes"/>
    <x v="1"/>
  </r>
  <r>
    <n v="27388"/>
    <s v="M"/>
    <x v="0"/>
    <s v="M"/>
    <x v="1"/>
    <n v="60000"/>
    <n v="3"/>
    <x v="0"/>
    <s v="Management"/>
    <x v="1"/>
    <n v="2"/>
    <x v="3"/>
    <x v="2"/>
    <n v="66"/>
    <x v="1"/>
    <s v="No"/>
    <x v="0"/>
  </r>
  <r>
    <n v="24745"/>
    <s v="S"/>
    <x v="1"/>
    <s v="F"/>
    <x v="0"/>
    <n v="30000"/>
    <n v="2"/>
    <x v="2"/>
    <s v="Skilled Manual"/>
    <x v="1"/>
    <n v="2"/>
    <x v="0"/>
    <x v="2"/>
    <n v="49"/>
    <x v="0"/>
    <s v="No"/>
    <x v="0"/>
  </r>
  <r>
    <n v="29237"/>
    <s v="S"/>
    <x v="1"/>
    <s v="F"/>
    <x v="0"/>
    <n v="120000"/>
    <n v="4"/>
    <x v="1"/>
    <s v="Professional"/>
    <x v="0"/>
    <n v="3"/>
    <x v="2"/>
    <x v="2"/>
    <n v="43"/>
    <x v="0"/>
    <s v="Yes"/>
    <x v="1"/>
  </r>
  <r>
    <n v="15272"/>
    <s v="S"/>
    <x v="1"/>
    <s v="M"/>
    <x v="1"/>
    <n v="40000"/>
    <n v="0"/>
    <x v="2"/>
    <s v="Skilled Manual"/>
    <x v="1"/>
    <n v="2"/>
    <x v="3"/>
    <x v="2"/>
    <n v="30"/>
    <x v="2"/>
    <s v="No"/>
    <x v="0"/>
  </r>
  <r>
    <n v="18949"/>
    <s v="S"/>
    <x v="1"/>
    <s v="M"/>
    <x v="1"/>
    <n v="70000"/>
    <n v="0"/>
    <x v="4"/>
    <s v="Management"/>
    <x v="0"/>
    <n v="2"/>
    <x v="2"/>
    <x v="2"/>
    <n v="74"/>
    <x v="1"/>
    <s v="Yes"/>
    <x v="1"/>
  </r>
  <r>
    <n v="14507"/>
    <s v="M"/>
    <x v="0"/>
    <s v="M"/>
    <x v="1"/>
    <n v="100000"/>
    <n v="2"/>
    <x v="4"/>
    <s v="Management"/>
    <x v="0"/>
    <n v="3"/>
    <x v="3"/>
    <x v="2"/>
    <n v="65"/>
    <x v="1"/>
    <s v="No"/>
    <x v="0"/>
  </r>
  <r>
    <n v="25886"/>
    <s v="M"/>
    <x v="0"/>
    <s v="F"/>
    <x v="0"/>
    <n v="60000"/>
    <n v="2"/>
    <x v="1"/>
    <s v="Professional"/>
    <x v="0"/>
    <n v="2"/>
    <x v="1"/>
    <x v="2"/>
    <n v="56"/>
    <x v="1"/>
    <s v="Yes"/>
    <x v="1"/>
  </r>
  <r>
    <n v="21441"/>
    <s v="M"/>
    <x v="0"/>
    <s v="M"/>
    <x v="1"/>
    <n v="50000"/>
    <n v="4"/>
    <x v="0"/>
    <s v="Management"/>
    <x v="0"/>
    <n v="2"/>
    <x v="4"/>
    <x v="2"/>
    <n v="64"/>
    <x v="1"/>
    <s v="No"/>
    <x v="0"/>
  </r>
  <r>
    <n v="21741"/>
    <s v="M"/>
    <x v="0"/>
    <s v="F"/>
    <x v="0"/>
    <n v="70000"/>
    <n v="3"/>
    <x v="1"/>
    <s v="Professional"/>
    <x v="0"/>
    <n v="2"/>
    <x v="2"/>
    <x v="2"/>
    <n v="50"/>
    <x v="0"/>
    <s v="Yes"/>
    <x v="1"/>
  </r>
  <r>
    <n v="14572"/>
    <s v="M"/>
    <x v="0"/>
    <s v="F"/>
    <x v="0"/>
    <n v="70000"/>
    <n v="3"/>
    <x v="4"/>
    <s v="Professional"/>
    <x v="0"/>
    <n v="0"/>
    <x v="1"/>
    <x v="2"/>
    <n v="35"/>
    <x v="0"/>
    <s v="Yes"/>
    <x v="1"/>
  </r>
  <r>
    <n v="23368"/>
    <s v="M"/>
    <x v="0"/>
    <s v="F"/>
    <x v="0"/>
    <n v="60000"/>
    <n v="5"/>
    <x v="0"/>
    <s v="Skilled Manual"/>
    <x v="0"/>
    <n v="3"/>
    <x v="4"/>
    <x v="2"/>
    <n v="41"/>
    <x v="0"/>
    <s v="No"/>
    <x v="0"/>
  </r>
  <r>
    <n v="16217"/>
    <s v="S"/>
    <x v="1"/>
    <s v="F"/>
    <x v="0"/>
    <n v="60000"/>
    <n v="0"/>
    <x v="4"/>
    <s v="Skilled Manual"/>
    <x v="0"/>
    <n v="0"/>
    <x v="0"/>
    <x v="2"/>
    <n v="39"/>
    <x v="0"/>
    <s v="No"/>
    <x v="0"/>
  </r>
  <r>
    <n v="16247"/>
    <s v="S"/>
    <x v="1"/>
    <s v="F"/>
    <x v="0"/>
    <n v="60000"/>
    <n v="4"/>
    <x v="4"/>
    <s v="Skilled Manual"/>
    <x v="1"/>
    <n v="0"/>
    <x v="3"/>
    <x v="2"/>
    <n v="47"/>
    <x v="0"/>
    <s v="No"/>
    <x v="0"/>
  </r>
  <r>
    <n v="22010"/>
    <s v="S"/>
    <x v="1"/>
    <s v="M"/>
    <x v="1"/>
    <n v="40000"/>
    <n v="0"/>
    <x v="2"/>
    <s v="Skilled Manual"/>
    <x v="0"/>
    <n v="2"/>
    <x v="2"/>
    <x v="2"/>
    <n v="31"/>
    <x v="0"/>
    <s v="No"/>
    <x v="0"/>
  </r>
  <r>
    <n v="25872"/>
    <s v="S"/>
    <x v="1"/>
    <s v="F"/>
    <x v="0"/>
    <n v="70000"/>
    <n v="2"/>
    <x v="0"/>
    <s v="Management"/>
    <x v="1"/>
    <n v="1"/>
    <x v="1"/>
    <x v="2"/>
    <n v="58"/>
    <x v="1"/>
    <s v="Yes"/>
    <x v="1"/>
  </r>
  <r>
    <n v="19164"/>
    <s v="S"/>
    <x v="1"/>
    <s v="F"/>
    <x v="0"/>
    <n v="70000"/>
    <n v="0"/>
    <x v="0"/>
    <s v="Professional"/>
    <x v="1"/>
    <n v="1"/>
    <x v="1"/>
    <x v="2"/>
    <n v="38"/>
    <x v="0"/>
    <s v="Yes"/>
    <x v="1"/>
  </r>
  <r>
    <n v="18435"/>
    <s v="S"/>
    <x v="1"/>
    <s v="F"/>
    <x v="0"/>
    <n v="70000"/>
    <n v="5"/>
    <x v="4"/>
    <s v="Management"/>
    <x v="0"/>
    <n v="2"/>
    <x v="4"/>
    <x v="2"/>
    <n v="67"/>
    <x v="1"/>
    <s v="Yes"/>
    <x v="1"/>
  </r>
  <r>
    <n v="14284"/>
    <s v="S"/>
    <x v="1"/>
    <s v="M"/>
    <x v="1"/>
    <n v="60000"/>
    <n v="0"/>
    <x v="1"/>
    <s v="Professional"/>
    <x v="1"/>
    <n v="2"/>
    <x v="3"/>
    <x v="2"/>
    <n v="32"/>
    <x v="0"/>
    <s v="Yes"/>
    <x v="1"/>
  </r>
  <r>
    <n v="11287"/>
    <s v="M"/>
    <x v="0"/>
    <s v="M"/>
    <x v="1"/>
    <n v="70000"/>
    <n v="5"/>
    <x v="1"/>
    <s v="Professional"/>
    <x v="1"/>
    <n v="3"/>
    <x v="2"/>
    <x v="2"/>
    <n v="45"/>
    <x v="0"/>
    <s v="No"/>
    <x v="0"/>
  </r>
  <r>
    <n v="13066"/>
    <s v="S"/>
    <x v="1"/>
    <s v="M"/>
    <x v="1"/>
    <n v="30000"/>
    <n v="0"/>
    <x v="2"/>
    <s v="Skilled Manual"/>
    <x v="1"/>
    <n v="2"/>
    <x v="3"/>
    <x v="2"/>
    <n v="31"/>
    <x v="0"/>
    <s v="Yes"/>
    <x v="1"/>
  </r>
  <r>
    <n v="29106"/>
    <s v="S"/>
    <x v="1"/>
    <s v="M"/>
    <x v="1"/>
    <n v="40000"/>
    <n v="0"/>
    <x v="2"/>
    <s v="Skilled Manual"/>
    <x v="1"/>
    <n v="2"/>
    <x v="3"/>
    <x v="2"/>
    <n v="31"/>
    <x v="0"/>
    <s v="Yes"/>
    <x v="1"/>
  </r>
  <r>
    <n v="26236"/>
    <s v="M"/>
    <x v="0"/>
    <s v="F"/>
    <x v="0"/>
    <n v="40000"/>
    <n v="3"/>
    <x v="1"/>
    <s v="Clerical"/>
    <x v="0"/>
    <n v="1"/>
    <x v="0"/>
    <x v="2"/>
    <n v="31"/>
    <x v="0"/>
    <s v="No"/>
    <x v="0"/>
  </r>
  <r>
    <n v="17531"/>
    <s v="M"/>
    <x v="0"/>
    <s v="M"/>
    <x v="1"/>
    <n v="60000"/>
    <n v="2"/>
    <x v="2"/>
    <s v="Professional"/>
    <x v="1"/>
    <n v="2"/>
    <x v="2"/>
    <x v="2"/>
    <n v="50"/>
    <x v="0"/>
    <s v="No"/>
    <x v="0"/>
  </r>
  <r>
    <n v="12964"/>
    <s v="M"/>
    <x v="0"/>
    <s v="M"/>
    <x v="1"/>
    <n v="70000"/>
    <n v="1"/>
    <x v="1"/>
    <s v="Skilled Manual"/>
    <x v="0"/>
    <n v="1"/>
    <x v="0"/>
    <x v="2"/>
    <n v="44"/>
    <x v="0"/>
    <s v="No"/>
    <x v="0"/>
  </r>
  <r>
    <n v="19133"/>
    <s v="S"/>
    <x v="1"/>
    <s v="M"/>
    <x v="1"/>
    <n v="50000"/>
    <n v="2"/>
    <x v="0"/>
    <s v="Skilled Manual"/>
    <x v="0"/>
    <n v="1"/>
    <x v="1"/>
    <x v="2"/>
    <n v="38"/>
    <x v="0"/>
    <s v="Yes"/>
    <x v="1"/>
  </r>
  <r>
    <n v="24643"/>
    <s v="S"/>
    <x v="1"/>
    <s v="F"/>
    <x v="0"/>
    <n v="60000"/>
    <n v="4"/>
    <x v="0"/>
    <s v="Management"/>
    <x v="0"/>
    <n v="2"/>
    <x v="4"/>
    <x v="2"/>
    <n v="63"/>
    <x v="1"/>
    <s v="No"/>
    <x v="0"/>
  </r>
  <r>
    <n v="21599"/>
    <s v="M"/>
    <x v="0"/>
    <s v="F"/>
    <x v="0"/>
    <n v="60000"/>
    <n v="1"/>
    <x v="4"/>
    <s v="Professional"/>
    <x v="0"/>
    <n v="0"/>
    <x v="1"/>
    <x v="2"/>
    <n v="36"/>
    <x v="0"/>
    <s v="Yes"/>
    <x v="1"/>
  </r>
  <r>
    <n v="22976"/>
    <s v="S"/>
    <x v="1"/>
    <s v="M"/>
    <x v="1"/>
    <n v="40000"/>
    <n v="0"/>
    <x v="2"/>
    <s v="Skilled Manual"/>
    <x v="1"/>
    <n v="2"/>
    <x v="0"/>
    <x v="2"/>
    <n v="28"/>
    <x v="2"/>
    <s v="Yes"/>
    <x v="1"/>
  </r>
  <r>
    <n v="27637"/>
    <s v="S"/>
    <x v="1"/>
    <s v="F"/>
    <x v="0"/>
    <n v="100000"/>
    <n v="1"/>
    <x v="1"/>
    <s v="Professional"/>
    <x v="1"/>
    <n v="3"/>
    <x v="3"/>
    <x v="2"/>
    <n v="44"/>
    <x v="0"/>
    <s v="No"/>
    <x v="0"/>
  </r>
  <r>
    <n v="11890"/>
    <s v="M"/>
    <x v="0"/>
    <s v="F"/>
    <x v="0"/>
    <n v="70000"/>
    <n v="5"/>
    <x v="4"/>
    <s v="Professional"/>
    <x v="0"/>
    <n v="1"/>
    <x v="0"/>
    <x v="2"/>
    <n v="47"/>
    <x v="0"/>
    <s v="No"/>
    <x v="0"/>
  </r>
  <r>
    <n v="28580"/>
    <s v="M"/>
    <x v="0"/>
    <s v="F"/>
    <x v="0"/>
    <n v="80000"/>
    <n v="0"/>
    <x v="4"/>
    <s v="Skilled Manual"/>
    <x v="0"/>
    <n v="0"/>
    <x v="3"/>
    <x v="2"/>
    <n v="40"/>
    <x v="0"/>
    <s v="Yes"/>
    <x v="1"/>
  </r>
  <r>
    <n v="14443"/>
    <s v="M"/>
    <x v="0"/>
    <s v="M"/>
    <x v="1"/>
    <n v="130000"/>
    <n v="1"/>
    <x v="4"/>
    <s v="Management"/>
    <x v="0"/>
    <n v="4"/>
    <x v="0"/>
    <x v="2"/>
    <n v="40"/>
    <x v="0"/>
    <s v="No"/>
    <x v="0"/>
  </r>
  <r>
    <n v="17864"/>
    <s v="M"/>
    <x v="0"/>
    <s v="F"/>
    <x v="0"/>
    <n v="60000"/>
    <n v="1"/>
    <x v="1"/>
    <s v="Skilled Manual"/>
    <x v="0"/>
    <n v="1"/>
    <x v="1"/>
    <x v="2"/>
    <n v="46"/>
    <x v="0"/>
    <s v="Yes"/>
    <x v="1"/>
  </r>
  <r>
    <n v="20505"/>
    <s v="M"/>
    <x v="0"/>
    <s v="F"/>
    <x v="0"/>
    <n v="40000"/>
    <n v="5"/>
    <x v="2"/>
    <s v="Professional"/>
    <x v="1"/>
    <n v="2"/>
    <x v="4"/>
    <x v="2"/>
    <n v="61"/>
    <x v="1"/>
    <s v="No"/>
    <x v="0"/>
  </r>
  <r>
    <n v="14592"/>
    <s v="M"/>
    <x v="0"/>
    <s v="F"/>
    <x v="0"/>
    <n v="60000"/>
    <n v="0"/>
    <x v="4"/>
    <s v="Professional"/>
    <x v="0"/>
    <n v="0"/>
    <x v="0"/>
    <x v="2"/>
    <n v="40"/>
    <x v="0"/>
    <s v="No"/>
    <x v="0"/>
  </r>
  <r>
    <n v="22227"/>
    <s v="M"/>
    <x v="0"/>
    <s v="F"/>
    <x v="0"/>
    <n v="60000"/>
    <n v="2"/>
    <x v="2"/>
    <s v="Professional"/>
    <x v="0"/>
    <n v="2"/>
    <x v="2"/>
    <x v="2"/>
    <n v="50"/>
    <x v="0"/>
    <s v="No"/>
    <x v="0"/>
  </r>
  <r>
    <n v="21471"/>
    <s v="M"/>
    <x v="0"/>
    <s v="M"/>
    <x v="1"/>
    <n v="70000"/>
    <n v="2"/>
    <x v="1"/>
    <s v="Professional"/>
    <x v="0"/>
    <n v="1"/>
    <x v="4"/>
    <x v="2"/>
    <n v="59"/>
    <x v="1"/>
    <s v="No"/>
    <x v="0"/>
  </r>
  <r>
    <n v="22252"/>
    <s v="S"/>
    <x v="1"/>
    <s v="F"/>
    <x v="0"/>
    <n v="60000"/>
    <n v="1"/>
    <x v="4"/>
    <s v="Professional"/>
    <x v="0"/>
    <n v="0"/>
    <x v="1"/>
    <x v="2"/>
    <n v="36"/>
    <x v="0"/>
    <s v="Yes"/>
    <x v="1"/>
  </r>
  <r>
    <n v="21260"/>
    <s v="S"/>
    <x v="1"/>
    <s v="F"/>
    <x v="0"/>
    <n v="40000"/>
    <n v="0"/>
    <x v="2"/>
    <s v="Skilled Manual"/>
    <x v="0"/>
    <n v="2"/>
    <x v="2"/>
    <x v="2"/>
    <n v="30"/>
    <x v="2"/>
    <s v="No"/>
    <x v="0"/>
  </r>
  <r>
    <n v="11817"/>
    <s v="S"/>
    <x v="1"/>
    <s v="F"/>
    <x v="0"/>
    <n v="70000"/>
    <n v="4"/>
    <x v="4"/>
    <s v="Professional"/>
    <x v="0"/>
    <n v="0"/>
    <x v="1"/>
    <x v="2"/>
    <n v="35"/>
    <x v="0"/>
    <s v="Yes"/>
    <x v="1"/>
  </r>
  <r>
    <n v="19223"/>
    <s v="M"/>
    <x v="0"/>
    <s v="F"/>
    <x v="0"/>
    <n v="30000"/>
    <n v="2"/>
    <x v="2"/>
    <s v="Skilled Manual"/>
    <x v="0"/>
    <n v="2"/>
    <x v="3"/>
    <x v="2"/>
    <n v="48"/>
    <x v="0"/>
    <s v="No"/>
    <x v="0"/>
  </r>
  <r>
    <n v="18517"/>
    <s v="M"/>
    <x v="0"/>
    <s v="M"/>
    <x v="1"/>
    <n v="100000"/>
    <n v="3"/>
    <x v="0"/>
    <s v="Management"/>
    <x v="0"/>
    <n v="4"/>
    <x v="0"/>
    <x v="2"/>
    <n v="41"/>
    <x v="0"/>
    <s v="No"/>
    <x v="0"/>
  </r>
  <r>
    <n v="21717"/>
    <s v="M"/>
    <x v="0"/>
    <s v="M"/>
    <x v="1"/>
    <n v="40000"/>
    <n v="2"/>
    <x v="1"/>
    <s v="Clerical"/>
    <x v="0"/>
    <n v="1"/>
    <x v="0"/>
    <x v="2"/>
    <n v="47"/>
    <x v="0"/>
    <s v="No"/>
    <x v="0"/>
  </r>
  <r>
    <n v="13760"/>
    <s v="M"/>
    <x v="0"/>
    <s v="M"/>
    <x v="1"/>
    <n v="60000"/>
    <n v="4"/>
    <x v="4"/>
    <s v="Skilled Manual"/>
    <x v="1"/>
    <n v="0"/>
    <x v="0"/>
    <x v="2"/>
    <n v="47"/>
    <x v="0"/>
    <s v="No"/>
    <x v="0"/>
  </r>
  <r>
    <n v="18145"/>
    <s v="M"/>
    <x v="0"/>
    <s v="M"/>
    <x v="1"/>
    <n v="80000"/>
    <n v="5"/>
    <x v="0"/>
    <s v="Management"/>
    <x v="1"/>
    <n v="2"/>
    <x v="1"/>
    <x v="0"/>
    <n v="62"/>
    <x v="1"/>
    <s v="No"/>
    <x v="0"/>
  </r>
  <r>
    <n v="21770"/>
    <s v="M"/>
    <x v="0"/>
    <s v="M"/>
    <x v="1"/>
    <n v="60000"/>
    <n v="4"/>
    <x v="0"/>
    <s v="Management"/>
    <x v="0"/>
    <n v="2"/>
    <x v="4"/>
    <x v="2"/>
    <n v="60"/>
    <x v="1"/>
    <s v="No"/>
    <x v="0"/>
  </r>
  <r>
    <n v="11165"/>
    <s v="M"/>
    <x v="0"/>
    <s v="F"/>
    <x v="0"/>
    <n v="60000"/>
    <n v="0"/>
    <x v="1"/>
    <s v="Skilled Manual"/>
    <x v="1"/>
    <n v="1"/>
    <x v="3"/>
    <x v="2"/>
    <n v="33"/>
    <x v="0"/>
    <s v="No"/>
    <x v="0"/>
  </r>
  <r>
    <n v="16377"/>
    <s v="S"/>
    <x v="1"/>
    <s v="F"/>
    <x v="0"/>
    <n v="80000"/>
    <n v="4"/>
    <x v="4"/>
    <s v="Skilled Manual"/>
    <x v="1"/>
    <n v="0"/>
    <x v="0"/>
    <x v="2"/>
    <n v="47"/>
    <x v="0"/>
    <s v="No"/>
    <x v="0"/>
  </r>
  <r>
    <n v="26248"/>
    <s v="M"/>
    <x v="0"/>
    <s v="M"/>
    <x v="1"/>
    <n v="20000"/>
    <n v="3"/>
    <x v="3"/>
    <s v="Clerical"/>
    <x v="1"/>
    <n v="2"/>
    <x v="0"/>
    <x v="2"/>
    <n v="52"/>
    <x v="0"/>
    <s v="No"/>
    <x v="0"/>
  </r>
  <r>
    <n v="23461"/>
    <s v="M"/>
    <x v="0"/>
    <s v="F"/>
    <x v="0"/>
    <n v="90000"/>
    <n v="5"/>
    <x v="1"/>
    <s v="Professional"/>
    <x v="0"/>
    <n v="3"/>
    <x v="1"/>
    <x v="2"/>
    <n v="40"/>
    <x v="0"/>
    <s v="No"/>
    <x v="0"/>
  </r>
  <r>
    <n v="29133"/>
    <s v="S"/>
    <x v="1"/>
    <s v="F"/>
    <x v="0"/>
    <n v="60000"/>
    <n v="4"/>
    <x v="0"/>
    <s v="Skilled Manual"/>
    <x v="1"/>
    <n v="2"/>
    <x v="0"/>
    <x v="2"/>
    <n v="42"/>
    <x v="0"/>
    <s v="No"/>
    <x v="0"/>
  </r>
  <r>
    <n v="27673"/>
    <s v="S"/>
    <x v="1"/>
    <s v="F"/>
    <x v="0"/>
    <n v="60000"/>
    <n v="3"/>
    <x v="4"/>
    <s v="Management"/>
    <x v="0"/>
    <n v="2"/>
    <x v="2"/>
    <x v="2"/>
    <n v="53"/>
    <x v="0"/>
    <s v="Yes"/>
    <x v="1"/>
  </r>
  <r>
    <n v="12774"/>
    <s v="M"/>
    <x v="0"/>
    <s v="F"/>
    <x v="0"/>
    <n v="40000"/>
    <n v="1"/>
    <x v="1"/>
    <s v="Clerical"/>
    <x v="0"/>
    <n v="1"/>
    <x v="3"/>
    <x v="2"/>
    <n v="51"/>
    <x v="0"/>
    <s v="Yes"/>
    <x v="1"/>
  </r>
  <r>
    <n v="18910"/>
    <s v="S"/>
    <x v="1"/>
    <s v="M"/>
    <x v="1"/>
    <n v="30000"/>
    <n v="0"/>
    <x v="1"/>
    <s v="Skilled Manual"/>
    <x v="0"/>
    <n v="2"/>
    <x v="2"/>
    <x v="2"/>
    <n v="30"/>
    <x v="2"/>
    <s v="No"/>
    <x v="0"/>
  </r>
  <r>
    <n v="11699"/>
    <s v="S"/>
    <x v="1"/>
    <s v="M"/>
    <x v="1"/>
    <n v="60000"/>
    <n v="0"/>
    <x v="0"/>
    <s v="Skilled Manual"/>
    <x v="1"/>
    <n v="2"/>
    <x v="0"/>
    <x v="2"/>
    <n v="30"/>
    <x v="2"/>
    <s v="No"/>
    <x v="0"/>
  </r>
  <r>
    <n v="16725"/>
    <s v="M"/>
    <x v="0"/>
    <s v="M"/>
    <x v="1"/>
    <n v="30000"/>
    <n v="0"/>
    <x v="2"/>
    <s v="Skilled Manual"/>
    <x v="0"/>
    <n v="2"/>
    <x v="2"/>
    <x v="2"/>
    <n v="26"/>
    <x v="2"/>
    <s v="No"/>
    <x v="0"/>
  </r>
  <r>
    <n v="28269"/>
    <s v="S"/>
    <x v="1"/>
    <s v="F"/>
    <x v="0"/>
    <n v="130000"/>
    <n v="1"/>
    <x v="0"/>
    <s v="Management"/>
    <x v="1"/>
    <n v="1"/>
    <x v="1"/>
    <x v="2"/>
    <n v="45"/>
    <x v="0"/>
    <s v="No"/>
    <x v="0"/>
  </r>
  <r>
    <n v="23144"/>
    <s v="M"/>
    <x v="0"/>
    <s v="M"/>
    <x v="1"/>
    <n v="50000"/>
    <n v="1"/>
    <x v="0"/>
    <s v="Skilled Manual"/>
    <x v="0"/>
    <n v="0"/>
    <x v="0"/>
    <x v="2"/>
    <n v="34"/>
    <x v="0"/>
    <s v="Yes"/>
    <x v="1"/>
  </r>
  <r>
    <n v="23376"/>
    <s v="M"/>
    <x v="0"/>
    <s v="M"/>
    <x v="1"/>
    <n v="70000"/>
    <n v="1"/>
    <x v="0"/>
    <s v="Professional"/>
    <x v="0"/>
    <n v="1"/>
    <x v="1"/>
    <x v="2"/>
    <n v="44"/>
    <x v="0"/>
    <s v="Yes"/>
    <x v="1"/>
  </r>
  <r>
    <n v="25970"/>
    <s v="S"/>
    <x v="1"/>
    <s v="F"/>
    <x v="0"/>
    <n v="60000"/>
    <n v="4"/>
    <x v="0"/>
    <s v="Skilled Manual"/>
    <x v="1"/>
    <n v="2"/>
    <x v="0"/>
    <x v="2"/>
    <n v="41"/>
    <x v="0"/>
    <s v="Yes"/>
    <x v="1"/>
  </r>
  <r>
    <n v="28068"/>
    <s v="S"/>
    <x v="1"/>
    <s v="F"/>
    <x v="0"/>
    <n v="80000"/>
    <n v="3"/>
    <x v="4"/>
    <s v="Professional"/>
    <x v="1"/>
    <n v="0"/>
    <x v="0"/>
    <x v="2"/>
    <n v="36"/>
    <x v="0"/>
    <s v="Yes"/>
    <x v="1"/>
  </r>
  <r>
    <n v="18390"/>
    <s v="M"/>
    <x v="0"/>
    <s v="M"/>
    <x v="1"/>
    <n v="80000"/>
    <n v="5"/>
    <x v="1"/>
    <s v="Professional"/>
    <x v="0"/>
    <n v="2"/>
    <x v="0"/>
    <x v="2"/>
    <n v="44"/>
    <x v="0"/>
    <s v="No"/>
    <x v="0"/>
  </r>
  <r>
    <n v="29112"/>
    <s v="S"/>
    <x v="1"/>
    <s v="M"/>
    <x v="1"/>
    <n v="60000"/>
    <n v="0"/>
    <x v="1"/>
    <s v="Professional"/>
    <x v="1"/>
    <n v="2"/>
    <x v="3"/>
    <x v="2"/>
    <n v="30"/>
    <x v="2"/>
    <s v="No"/>
    <x v="0"/>
  </r>
  <r>
    <n v="14090"/>
    <s v="M"/>
    <x v="0"/>
    <s v="F"/>
    <x v="0"/>
    <n v="30000"/>
    <n v="0"/>
    <x v="3"/>
    <s v="Clerical"/>
    <x v="1"/>
    <n v="2"/>
    <x v="0"/>
    <x v="2"/>
    <n v="28"/>
    <x v="2"/>
    <s v="No"/>
    <x v="0"/>
  </r>
  <r>
    <n v="27040"/>
    <s v="M"/>
    <x v="0"/>
    <s v="M"/>
    <x v="1"/>
    <n v="20000"/>
    <n v="2"/>
    <x v="3"/>
    <s v="Clerical"/>
    <x v="0"/>
    <n v="2"/>
    <x v="3"/>
    <x v="2"/>
    <n v="49"/>
    <x v="0"/>
    <s v="No"/>
    <x v="0"/>
  </r>
  <r>
    <n v="23479"/>
    <s v="S"/>
    <x v="1"/>
    <s v="M"/>
    <x v="1"/>
    <n v="90000"/>
    <n v="0"/>
    <x v="1"/>
    <s v="Professional"/>
    <x v="1"/>
    <n v="2"/>
    <x v="0"/>
    <x v="2"/>
    <n v="43"/>
    <x v="0"/>
    <s v="Yes"/>
    <x v="1"/>
  </r>
  <r>
    <n v="16795"/>
    <s v="M"/>
    <x v="0"/>
    <s v="F"/>
    <x v="0"/>
    <n v="70000"/>
    <n v="4"/>
    <x v="0"/>
    <s v="Management"/>
    <x v="0"/>
    <n v="1"/>
    <x v="3"/>
    <x v="2"/>
    <n v="59"/>
    <x v="1"/>
    <s v="No"/>
    <x v="0"/>
  </r>
  <r>
    <n v="22014"/>
    <s v="S"/>
    <x v="1"/>
    <s v="M"/>
    <x v="1"/>
    <n v="30000"/>
    <n v="0"/>
    <x v="2"/>
    <s v="Skilled Manual"/>
    <x v="0"/>
    <n v="2"/>
    <x v="2"/>
    <x v="2"/>
    <n v="26"/>
    <x v="2"/>
    <s v="No"/>
    <x v="0"/>
  </r>
  <r>
    <n v="13314"/>
    <s v="M"/>
    <x v="0"/>
    <s v="M"/>
    <x v="1"/>
    <n v="120000"/>
    <n v="1"/>
    <x v="2"/>
    <s v="Professional"/>
    <x v="0"/>
    <n v="4"/>
    <x v="2"/>
    <x v="2"/>
    <n v="46"/>
    <x v="0"/>
    <s v="Yes"/>
    <x v="1"/>
  </r>
  <r>
    <n v="11619"/>
    <s v="S"/>
    <x v="1"/>
    <s v="F"/>
    <x v="0"/>
    <n v="50000"/>
    <n v="0"/>
    <x v="4"/>
    <s v="Skilled Manual"/>
    <x v="0"/>
    <n v="0"/>
    <x v="3"/>
    <x v="2"/>
    <n v="33"/>
    <x v="0"/>
    <s v="No"/>
    <x v="0"/>
  </r>
  <r>
    <n v="29132"/>
    <s v="S"/>
    <x v="1"/>
    <s v="F"/>
    <x v="0"/>
    <n v="40000"/>
    <n v="0"/>
    <x v="0"/>
    <s v="Professional"/>
    <x v="0"/>
    <n v="1"/>
    <x v="1"/>
    <x v="2"/>
    <n v="42"/>
    <x v="0"/>
    <s v="Yes"/>
    <x v="1"/>
  </r>
  <r>
    <n v="11199"/>
    <s v="M"/>
    <x v="0"/>
    <s v="F"/>
    <x v="0"/>
    <n v="70000"/>
    <n v="4"/>
    <x v="0"/>
    <s v="Management"/>
    <x v="0"/>
    <n v="1"/>
    <x v="4"/>
    <x v="2"/>
    <n v="59"/>
    <x v="1"/>
    <s v="No"/>
    <x v="0"/>
  </r>
  <r>
    <n v="20296"/>
    <s v="S"/>
    <x v="1"/>
    <s v="F"/>
    <x v="0"/>
    <n v="60000"/>
    <n v="0"/>
    <x v="1"/>
    <s v="Skilled Manual"/>
    <x v="1"/>
    <n v="1"/>
    <x v="3"/>
    <x v="2"/>
    <n v="33"/>
    <x v="0"/>
    <s v="Yes"/>
    <x v="1"/>
  </r>
  <r>
    <n v="17546"/>
    <s v="M"/>
    <x v="0"/>
    <s v="F"/>
    <x v="0"/>
    <n v="70000"/>
    <n v="1"/>
    <x v="1"/>
    <s v="Skilled Manual"/>
    <x v="0"/>
    <n v="1"/>
    <x v="0"/>
    <x v="2"/>
    <n v="44"/>
    <x v="0"/>
    <s v="Yes"/>
    <x v="1"/>
  </r>
  <r>
    <n v="18069"/>
    <s v="M"/>
    <x v="0"/>
    <s v="M"/>
    <x v="1"/>
    <n v="70000"/>
    <n v="5"/>
    <x v="0"/>
    <s v="Management"/>
    <x v="0"/>
    <n v="4"/>
    <x v="4"/>
    <x v="2"/>
    <n v="60"/>
    <x v="1"/>
    <s v="No"/>
    <x v="0"/>
  </r>
  <r>
    <n v="23712"/>
    <s v="S"/>
    <x v="1"/>
    <s v="F"/>
    <x v="0"/>
    <n v="70000"/>
    <n v="2"/>
    <x v="0"/>
    <s v="Management"/>
    <x v="0"/>
    <n v="1"/>
    <x v="4"/>
    <x v="2"/>
    <n v="59"/>
    <x v="1"/>
    <s v="No"/>
    <x v="0"/>
  </r>
  <r>
    <n v="23358"/>
    <s v="M"/>
    <x v="0"/>
    <s v="M"/>
    <x v="1"/>
    <n v="60000"/>
    <n v="0"/>
    <x v="2"/>
    <s v="Professional"/>
    <x v="0"/>
    <n v="2"/>
    <x v="2"/>
    <x v="2"/>
    <n v="32"/>
    <x v="0"/>
    <s v="Yes"/>
    <x v="1"/>
  </r>
  <r>
    <n v="20518"/>
    <s v="M"/>
    <x v="0"/>
    <s v="F"/>
    <x v="0"/>
    <n v="70000"/>
    <n v="2"/>
    <x v="1"/>
    <s v="Professional"/>
    <x v="0"/>
    <n v="1"/>
    <x v="4"/>
    <x v="2"/>
    <n v="58"/>
    <x v="1"/>
    <s v="No"/>
    <x v="0"/>
  </r>
  <r>
    <n v="28026"/>
    <s v="M"/>
    <x v="0"/>
    <s v="F"/>
    <x v="0"/>
    <n v="40000"/>
    <n v="2"/>
    <x v="2"/>
    <s v="Professional"/>
    <x v="1"/>
    <n v="2"/>
    <x v="1"/>
    <x v="2"/>
    <n v="59"/>
    <x v="1"/>
    <s v="No"/>
    <x v="0"/>
  </r>
  <r>
    <n v="11669"/>
    <s v="S"/>
    <x v="1"/>
    <s v="F"/>
    <x v="0"/>
    <n v="70000"/>
    <n v="2"/>
    <x v="0"/>
    <s v="Skilled Manual"/>
    <x v="0"/>
    <n v="1"/>
    <x v="1"/>
    <x v="2"/>
    <n v="38"/>
    <x v="0"/>
    <s v="No"/>
    <x v="0"/>
  </r>
  <r>
    <n v="16020"/>
    <s v="M"/>
    <x v="0"/>
    <s v="M"/>
    <x v="1"/>
    <n v="40000"/>
    <n v="0"/>
    <x v="2"/>
    <s v="Skilled Manual"/>
    <x v="0"/>
    <n v="2"/>
    <x v="2"/>
    <x v="2"/>
    <n v="28"/>
    <x v="2"/>
    <s v="Yes"/>
    <x v="1"/>
  </r>
  <r>
    <n v="27090"/>
    <s v="M"/>
    <x v="0"/>
    <s v="F"/>
    <x v="0"/>
    <n v="60000"/>
    <n v="1"/>
    <x v="4"/>
    <s v="Professional"/>
    <x v="0"/>
    <n v="0"/>
    <x v="1"/>
    <x v="2"/>
    <n v="37"/>
    <x v="0"/>
    <s v="Yes"/>
    <x v="1"/>
  </r>
  <r>
    <n v="27198"/>
    <s v="S"/>
    <x v="1"/>
    <s v="F"/>
    <x v="0"/>
    <n v="80000"/>
    <n v="0"/>
    <x v="4"/>
    <s v="Skilled Manual"/>
    <x v="1"/>
    <n v="0"/>
    <x v="0"/>
    <x v="2"/>
    <n v="40"/>
    <x v="0"/>
    <s v="No"/>
    <x v="0"/>
  </r>
  <r>
    <n v="19661"/>
    <s v="S"/>
    <x v="1"/>
    <s v="M"/>
    <x v="1"/>
    <n v="90000"/>
    <n v="4"/>
    <x v="0"/>
    <s v="Management"/>
    <x v="0"/>
    <n v="1"/>
    <x v="3"/>
    <x v="2"/>
    <n v="38"/>
    <x v="0"/>
    <s v="Yes"/>
    <x v="1"/>
  </r>
  <r>
    <n v="26327"/>
    <s v="M"/>
    <x v="0"/>
    <s v="M"/>
    <x v="1"/>
    <n v="70000"/>
    <n v="4"/>
    <x v="4"/>
    <s v="Professional"/>
    <x v="0"/>
    <n v="0"/>
    <x v="1"/>
    <x v="2"/>
    <n v="36"/>
    <x v="0"/>
    <s v="Yes"/>
    <x v="1"/>
  </r>
  <r>
    <n v="26341"/>
    <s v="M"/>
    <x v="0"/>
    <s v="F"/>
    <x v="0"/>
    <n v="70000"/>
    <n v="5"/>
    <x v="4"/>
    <s v="Professional"/>
    <x v="0"/>
    <n v="2"/>
    <x v="0"/>
    <x v="2"/>
    <n v="37"/>
    <x v="0"/>
    <s v="No"/>
    <x v="0"/>
  </r>
  <r>
    <n v="24958"/>
    <s v="S"/>
    <x v="1"/>
    <s v="F"/>
    <x v="0"/>
    <n v="40000"/>
    <n v="5"/>
    <x v="2"/>
    <s v="Professional"/>
    <x v="1"/>
    <n v="3"/>
    <x v="1"/>
    <x v="2"/>
    <n v="60"/>
    <x v="1"/>
    <s v="Yes"/>
    <x v="1"/>
  </r>
  <r>
    <n v="13287"/>
    <s v="S"/>
    <x v="1"/>
    <s v="M"/>
    <x v="1"/>
    <n v="110000"/>
    <n v="4"/>
    <x v="0"/>
    <s v="Management"/>
    <x v="0"/>
    <n v="4"/>
    <x v="2"/>
    <x v="2"/>
    <n v="42"/>
    <x v="0"/>
    <s v="Yes"/>
    <x v="1"/>
  </r>
  <r>
    <n v="14493"/>
    <s v="S"/>
    <x v="1"/>
    <s v="F"/>
    <x v="0"/>
    <n v="70000"/>
    <n v="3"/>
    <x v="4"/>
    <s v="Management"/>
    <x v="1"/>
    <n v="2"/>
    <x v="3"/>
    <x v="2"/>
    <n v="53"/>
    <x v="0"/>
    <s v="No"/>
    <x v="0"/>
  </r>
  <r>
    <n v="26678"/>
    <s v="S"/>
    <x v="1"/>
    <s v="F"/>
    <x v="0"/>
    <n v="80000"/>
    <n v="2"/>
    <x v="3"/>
    <s v="Skilled Manual"/>
    <x v="0"/>
    <n v="2"/>
    <x v="2"/>
    <x v="2"/>
    <n v="49"/>
    <x v="0"/>
    <s v="No"/>
    <x v="0"/>
  </r>
  <r>
    <n v="23275"/>
    <s v="M"/>
    <x v="0"/>
    <s v="M"/>
    <x v="1"/>
    <n v="30000"/>
    <n v="2"/>
    <x v="2"/>
    <s v="Skilled Manual"/>
    <x v="0"/>
    <n v="2"/>
    <x v="3"/>
    <x v="2"/>
    <n v="49"/>
    <x v="0"/>
    <s v="No"/>
    <x v="0"/>
  </r>
  <r>
    <n v="11270"/>
    <s v="M"/>
    <x v="0"/>
    <s v="M"/>
    <x v="1"/>
    <n v="130000"/>
    <n v="2"/>
    <x v="4"/>
    <s v="Management"/>
    <x v="0"/>
    <n v="3"/>
    <x v="0"/>
    <x v="2"/>
    <n v="42"/>
    <x v="0"/>
    <s v="Yes"/>
    <x v="1"/>
  </r>
  <r>
    <n v="20084"/>
    <s v="M"/>
    <x v="0"/>
    <s v="M"/>
    <x v="1"/>
    <n v="20000"/>
    <n v="2"/>
    <x v="2"/>
    <s v="Manual"/>
    <x v="1"/>
    <n v="2"/>
    <x v="0"/>
    <x v="2"/>
    <n v="53"/>
    <x v="0"/>
    <s v="No"/>
    <x v="0"/>
  </r>
  <r>
    <n v="16144"/>
    <s v="M"/>
    <x v="0"/>
    <s v="M"/>
    <x v="1"/>
    <n v="70000"/>
    <n v="1"/>
    <x v="4"/>
    <s v="Professional"/>
    <x v="0"/>
    <n v="1"/>
    <x v="0"/>
    <x v="2"/>
    <n v="46"/>
    <x v="0"/>
    <s v="Yes"/>
    <x v="1"/>
  </r>
  <r>
    <n v="27731"/>
    <s v="M"/>
    <x v="0"/>
    <s v="M"/>
    <x v="1"/>
    <n v="40000"/>
    <n v="0"/>
    <x v="2"/>
    <s v="Skilled Manual"/>
    <x v="0"/>
    <n v="2"/>
    <x v="2"/>
    <x v="2"/>
    <n v="27"/>
    <x v="2"/>
    <s v="No"/>
    <x v="0"/>
  </r>
  <r>
    <n v="11886"/>
    <s v="M"/>
    <x v="0"/>
    <s v="F"/>
    <x v="0"/>
    <n v="60000"/>
    <n v="3"/>
    <x v="0"/>
    <s v="Professional"/>
    <x v="0"/>
    <n v="1"/>
    <x v="0"/>
    <x v="2"/>
    <n v="48"/>
    <x v="0"/>
    <s v="Yes"/>
    <x v="1"/>
  </r>
  <r>
    <n v="24324"/>
    <s v="S"/>
    <x v="1"/>
    <s v="F"/>
    <x v="0"/>
    <n v="60000"/>
    <n v="4"/>
    <x v="0"/>
    <s v="Skilled Manual"/>
    <x v="0"/>
    <n v="2"/>
    <x v="1"/>
    <x v="2"/>
    <n v="41"/>
    <x v="0"/>
    <s v="Yes"/>
    <x v="1"/>
  </r>
  <r>
    <n v="22220"/>
    <s v="M"/>
    <x v="0"/>
    <s v="M"/>
    <x v="1"/>
    <n v="60000"/>
    <n v="2"/>
    <x v="2"/>
    <s v="Professional"/>
    <x v="1"/>
    <n v="2"/>
    <x v="3"/>
    <x v="2"/>
    <n v="49"/>
    <x v="0"/>
    <s v="Yes"/>
    <x v="1"/>
  </r>
  <r>
    <n v="26625"/>
    <s v="S"/>
    <x v="1"/>
    <s v="F"/>
    <x v="0"/>
    <n v="60000"/>
    <n v="0"/>
    <x v="4"/>
    <s v="Professional"/>
    <x v="0"/>
    <n v="1"/>
    <x v="1"/>
    <x v="2"/>
    <n v="38"/>
    <x v="0"/>
    <s v="Yes"/>
    <x v="1"/>
  </r>
  <r>
    <n v="23027"/>
    <s v="S"/>
    <x v="1"/>
    <s v="M"/>
    <x v="1"/>
    <n v="130000"/>
    <n v="1"/>
    <x v="0"/>
    <s v="Management"/>
    <x v="1"/>
    <n v="4"/>
    <x v="0"/>
    <x v="2"/>
    <n v="44"/>
    <x v="0"/>
    <s v="No"/>
    <x v="0"/>
  </r>
  <r>
    <n v="16867"/>
    <s v="S"/>
    <x v="1"/>
    <s v="F"/>
    <x v="0"/>
    <n v="130000"/>
    <n v="1"/>
    <x v="0"/>
    <s v="Management"/>
    <x v="1"/>
    <n v="3"/>
    <x v="0"/>
    <x v="2"/>
    <n v="45"/>
    <x v="0"/>
    <s v="Yes"/>
    <x v="1"/>
  </r>
  <r>
    <n v="14514"/>
    <s v="S"/>
    <x v="1"/>
    <s v="F"/>
    <x v="0"/>
    <n v="30000"/>
    <n v="0"/>
    <x v="1"/>
    <s v="Skilled Manual"/>
    <x v="0"/>
    <n v="1"/>
    <x v="2"/>
    <x v="2"/>
    <n v="26"/>
    <x v="2"/>
    <s v="No"/>
    <x v="0"/>
  </r>
  <r>
    <n v="19634"/>
    <s v="M"/>
    <x v="0"/>
    <s v="M"/>
    <x v="1"/>
    <n v="40000"/>
    <n v="0"/>
    <x v="2"/>
    <s v="Skilled Manual"/>
    <x v="0"/>
    <n v="1"/>
    <x v="2"/>
    <x v="2"/>
    <n v="31"/>
    <x v="0"/>
    <s v="No"/>
    <x v="0"/>
  </r>
  <r>
    <n v="18504"/>
    <s v="M"/>
    <x v="0"/>
    <s v="M"/>
    <x v="1"/>
    <n v="70000"/>
    <n v="2"/>
    <x v="3"/>
    <s v="Skilled Manual"/>
    <x v="1"/>
    <n v="2"/>
    <x v="3"/>
    <x v="2"/>
    <n v="49"/>
    <x v="0"/>
    <s v="No"/>
    <x v="0"/>
  </r>
  <r>
    <n v="28799"/>
    <s v="S"/>
    <x v="1"/>
    <s v="F"/>
    <x v="0"/>
    <n v="40000"/>
    <n v="2"/>
    <x v="1"/>
    <s v="Clerical"/>
    <x v="1"/>
    <n v="1"/>
    <x v="3"/>
    <x v="2"/>
    <n v="47"/>
    <x v="0"/>
    <s v="Yes"/>
    <x v="1"/>
  </r>
  <r>
    <n v="11225"/>
    <s v="M"/>
    <x v="0"/>
    <s v="F"/>
    <x v="0"/>
    <n v="60000"/>
    <n v="2"/>
    <x v="1"/>
    <s v="Professional"/>
    <x v="0"/>
    <n v="1"/>
    <x v="4"/>
    <x v="2"/>
    <n v="55"/>
    <x v="1"/>
    <s v="No"/>
    <x v="0"/>
  </r>
  <r>
    <n v="17657"/>
    <s v="M"/>
    <x v="0"/>
    <s v="M"/>
    <x v="1"/>
    <n v="40000"/>
    <n v="4"/>
    <x v="1"/>
    <s v="Clerical"/>
    <x v="1"/>
    <n v="0"/>
    <x v="0"/>
    <x v="2"/>
    <n v="30"/>
    <x v="2"/>
    <s v="No"/>
    <x v="0"/>
  </r>
  <r>
    <n v="14913"/>
    <s v="M"/>
    <x v="0"/>
    <s v="F"/>
    <x v="0"/>
    <n v="40000"/>
    <n v="1"/>
    <x v="1"/>
    <s v="Clerical"/>
    <x v="0"/>
    <n v="1"/>
    <x v="3"/>
    <x v="2"/>
    <n v="48"/>
    <x v="0"/>
    <s v="Yes"/>
    <x v="1"/>
  </r>
  <r>
    <n v="14077"/>
    <s v="S"/>
    <x v="1"/>
    <s v="M"/>
    <x v="1"/>
    <n v="30000"/>
    <n v="0"/>
    <x v="2"/>
    <s v="Skilled Manual"/>
    <x v="0"/>
    <n v="2"/>
    <x v="2"/>
    <x v="2"/>
    <n v="30"/>
    <x v="2"/>
    <s v="No"/>
    <x v="0"/>
  </r>
  <r>
    <n v="13296"/>
    <s v="M"/>
    <x v="0"/>
    <s v="M"/>
    <x v="1"/>
    <n v="110000"/>
    <n v="1"/>
    <x v="0"/>
    <s v="Management"/>
    <x v="0"/>
    <n v="3"/>
    <x v="2"/>
    <x v="2"/>
    <n v="45"/>
    <x v="0"/>
    <s v="No"/>
    <x v="0"/>
  </r>
  <r>
    <n v="20535"/>
    <s v="M"/>
    <x v="0"/>
    <s v="F"/>
    <x v="0"/>
    <n v="70000"/>
    <n v="4"/>
    <x v="1"/>
    <s v="Professional"/>
    <x v="0"/>
    <n v="1"/>
    <x v="4"/>
    <x v="2"/>
    <n v="56"/>
    <x v="1"/>
    <s v="No"/>
    <x v="0"/>
  </r>
  <r>
    <n v="12452"/>
    <s v="M"/>
    <x v="0"/>
    <s v="M"/>
    <x v="1"/>
    <n v="60000"/>
    <n v="4"/>
    <x v="4"/>
    <s v="Skilled Manual"/>
    <x v="0"/>
    <n v="0"/>
    <x v="3"/>
    <x v="2"/>
    <n v="47"/>
    <x v="0"/>
    <s v="Yes"/>
    <x v="1"/>
  </r>
  <r>
    <n v="28043"/>
    <s v="M"/>
    <x v="0"/>
    <s v="F"/>
    <x v="0"/>
    <n v="60000"/>
    <n v="2"/>
    <x v="0"/>
    <s v="Management"/>
    <x v="0"/>
    <n v="0"/>
    <x v="4"/>
    <x v="2"/>
    <n v="56"/>
    <x v="1"/>
    <s v="No"/>
    <x v="0"/>
  </r>
  <r>
    <n v="12957"/>
    <s v="S"/>
    <x v="1"/>
    <s v="F"/>
    <x v="0"/>
    <n v="70000"/>
    <n v="1"/>
    <x v="0"/>
    <s v="Professional"/>
    <x v="1"/>
    <n v="1"/>
    <x v="0"/>
    <x v="2"/>
    <n v="44"/>
    <x v="0"/>
    <s v="No"/>
    <x v="0"/>
  </r>
  <r>
    <n v="15412"/>
    <s v="M"/>
    <x v="0"/>
    <s v="M"/>
    <x v="1"/>
    <n v="130000"/>
    <n v="2"/>
    <x v="4"/>
    <s v="Management"/>
    <x v="0"/>
    <n v="3"/>
    <x v="1"/>
    <x v="2"/>
    <n v="69"/>
    <x v="1"/>
    <s v="No"/>
    <x v="0"/>
  </r>
  <r>
    <n v="20514"/>
    <s v="M"/>
    <x v="0"/>
    <s v="F"/>
    <x v="0"/>
    <n v="70000"/>
    <n v="2"/>
    <x v="1"/>
    <s v="Professional"/>
    <x v="0"/>
    <n v="1"/>
    <x v="1"/>
    <x v="2"/>
    <n v="59"/>
    <x v="1"/>
    <s v="No"/>
    <x v="0"/>
  </r>
  <r>
    <n v="20758"/>
    <s v="M"/>
    <x v="0"/>
    <s v="M"/>
    <x v="1"/>
    <n v="30000"/>
    <n v="2"/>
    <x v="2"/>
    <s v="Skilled Manual"/>
    <x v="0"/>
    <n v="2"/>
    <x v="3"/>
    <x v="2"/>
    <n v="50"/>
    <x v="0"/>
    <s v="No"/>
    <x v="0"/>
  </r>
  <r>
    <n v="11801"/>
    <s v="M"/>
    <x v="0"/>
    <s v="M"/>
    <x v="1"/>
    <n v="60000"/>
    <n v="1"/>
    <x v="4"/>
    <s v="Professional"/>
    <x v="0"/>
    <n v="0"/>
    <x v="1"/>
    <x v="2"/>
    <n v="36"/>
    <x v="0"/>
    <s v="No"/>
    <x v="0"/>
  </r>
  <r>
    <n v="22211"/>
    <s v="M"/>
    <x v="0"/>
    <s v="M"/>
    <x v="1"/>
    <n v="60000"/>
    <n v="0"/>
    <x v="1"/>
    <s v="Professional"/>
    <x v="0"/>
    <n v="2"/>
    <x v="2"/>
    <x v="2"/>
    <n v="32"/>
    <x v="0"/>
    <s v="No"/>
    <x v="0"/>
  </r>
  <r>
    <n v="28087"/>
    <s v="S"/>
    <x v="1"/>
    <s v="F"/>
    <x v="0"/>
    <n v="40000"/>
    <n v="0"/>
    <x v="1"/>
    <s v="Skilled Manual"/>
    <x v="1"/>
    <n v="1"/>
    <x v="3"/>
    <x v="2"/>
    <n v="27"/>
    <x v="2"/>
    <s v="No"/>
    <x v="0"/>
  </r>
  <r>
    <n v="23668"/>
    <s v="M"/>
    <x v="0"/>
    <s v="F"/>
    <x v="0"/>
    <n v="40000"/>
    <n v="4"/>
    <x v="2"/>
    <s v="Professional"/>
    <x v="0"/>
    <n v="2"/>
    <x v="2"/>
    <x v="2"/>
    <n v="59"/>
    <x v="1"/>
    <s v="Yes"/>
    <x v="1"/>
  </r>
  <r>
    <n v="27441"/>
    <s v="M"/>
    <x v="0"/>
    <s v="M"/>
    <x v="1"/>
    <n v="60000"/>
    <n v="3"/>
    <x v="2"/>
    <s v="Professional"/>
    <x v="1"/>
    <n v="2"/>
    <x v="1"/>
    <x v="2"/>
    <n v="53"/>
    <x v="0"/>
    <s v="No"/>
    <x v="0"/>
  </r>
  <r>
    <n v="27261"/>
    <s v="M"/>
    <x v="0"/>
    <s v="M"/>
    <x v="1"/>
    <n v="40000"/>
    <n v="1"/>
    <x v="0"/>
    <s v="Skilled Manual"/>
    <x v="1"/>
    <n v="1"/>
    <x v="0"/>
    <x v="2"/>
    <n v="36"/>
    <x v="0"/>
    <s v="Yes"/>
    <x v="1"/>
  </r>
  <r>
    <n v="18649"/>
    <s v="S"/>
    <x v="1"/>
    <s v="M"/>
    <x v="1"/>
    <n v="30000"/>
    <n v="1"/>
    <x v="2"/>
    <s v="Clerical"/>
    <x v="0"/>
    <n v="2"/>
    <x v="3"/>
    <x v="2"/>
    <n v="51"/>
    <x v="0"/>
    <s v="Yes"/>
    <x v="1"/>
  </r>
  <r>
    <n v="21714"/>
    <s v="S"/>
    <x v="1"/>
    <s v="F"/>
    <x v="0"/>
    <n v="80000"/>
    <n v="5"/>
    <x v="4"/>
    <s v="Skilled Manual"/>
    <x v="1"/>
    <n v="0"/>
    <x v="0"/>
    <x v="2"/>
    <n v="47"/>
    <x v="0"/>
    <s v="No"/>
    <x v="0"/>
  </r>
  <r>
    <n v="23217"/>
    <s v="S"/>
    <x v="1"/>
    <s v="F"/>
    <x v="0"/>
    <n v="60000"/>
    <n v="3"/>
    <x v="4"/>
    <s v="Professional"/>
    <x v="0"/>
    <n v="0"/>
    <x v="1"/>
    <x v="2"/>
    <n v="43"/>
    <x v="0"/>
    <s v="Yes"/>
    <x v="1"/>
  </r>
  <r>
    <n v="23797"/>
    <s v="S"/>
    <x v="1"/>
    <s v="M"/>
    <x v="1"/>
    <n v="20000"/>
    <n v="3"/>
    <x v="3"/>
    <s v="Clerical"/>
    <x v="1"/>
    <n v="2"/>
    <x v="0"/>
    <x v="2"/>
    <n v="50"/>
    <x v="0"/>
    <s v="No"/>
    <x v="0"/>
  </r>
  <r>
    <n v="13216"/>
    <s v="M"/>
    <x v="0"/>
    <s v="F"/>
    <x v="0"/>
    <n v="60000"/>
    <n v="5"/>
    <x v="0"/>
    <s v="Management"/>
    <x v="0"/>
    <n v="3"/>
    <x v="4"/>
    <x v="2"/>
    <n v="59"/>
    <x v="1"/>
    <s v="No"/>
    <x v="0"/>
  </r>
  <r>
    <n v="20657"/>
    <s v="S"/>
    <x v="1"/>
    <s v="M"/>
    <x v="1"/>
    <n v="50000"/>
    <n v="2"/>
    <x v="0"/>
    <s v="Skilled Manual"/>
    <x v="0"/>
    <n v="0"/>
    <x v="1"/>
    <x v="2"/>
    <n v="37"/>
    <x v="0"/>
    <s v="Yes"/>
    <x v="1"/>
  </r>
  <r>
    <n v="12882"/>
    <s v="M"/>
    <x v="0"/>
    <s v="M"/>
    <x v="1"/>
    <n v="50000"/>
    <n v="1"/>
    <x v="4"/>
    <s v="Skilled Manual"/>
    <x v="0"/>
    <n v="0"/>
    <x v="0"/>
    <x v="2"/>
    <n v="33"/>
    <x v="0"/>
    <s v="Yes"/>
    <x v="1"/>
  </r>
  <r>
    <n v="25908"/>
    <s v="M"/>
    <x v="0"/>
    <s v="F"/>
    <x v="0"/>
    <n v="60000"/>
    <n v="0"/>
    <x v="1"/>
    <s v="Skilled Manual"/>
    <x v="1"/>
    <n v="1"/>
    <x v="3"/>
    <x v="2"/>
    <n v="27"/>
    <x v="2"/>
    <s v="No"/>
    <x v="0"/>
  </r>
  <r>
    <n v="16753"/>
    <s v="S"/>
    <x v="1"/>
    <s v="F"/>
    <x v="0"/>
    <n v="70000"/>
    <n v="0"/>
    <x v="1"/>
    <s v="Skilled Manual"/>
    <x v="0"/>
    <n v="2"/>
    <x v="2"/>
    <x v="2"/>
    <n v="34"/>
    <x v="0"/>
    <s v="Yes"/>
    <x v="1"/>
  </r>
  <r>
    <n v="14608"/>
    <s v="M"/>
    <x v="0"/>
    <s v="M"/>
    <x v="1"/>
    <n v="50000"/>
    <n v="4"/>
    <x v="0"/>
    <s v="Skilled Manual"/>
    <x v="0"/>
    <n v="3"/>
    <x v="4"/>
    <x v="2"/>
    <n v="42"/>
    <x v="0"/>
    <s v="No"/>
    <x v="0"/>
  </r>
  <r>
    <n v="24979"/>
    <s v="M"/>
    <x v="0"/>
    <s v="F"/>
    <x v="0"/>
    <n v="60000"/>
    <n v="2"/>
    <x v="1"/>
    <s v="Professional"/>
    <x v="0"/>
    <n v="2"/>
    <x v="1"/>
    <x v="2"/>
    <n v="57"/>
    <x v="1"/>
    <s v="Yes"/>
    <x v="1"/>
  </r>
  <r>
    <n v="13313"/>
    <s v="M"/>
    <x v="0"/>
    <s v="F"/>
    <x v="0"/>
    <n v="120000"/>
    <n v="1"/>
    <x v="2"/>
    <s v="Professional"/>
    <x v="1"/>
    <n v="4"/>
    <x v="1"/>
    <x v="2"/>
    <n v="45"/>
    <x v="0"/>
    <s v="No"/>
    <x v="0"/>
  </r>
  <r>
    <n v="18952"/>
    <s v="M"/>
    <x v="0"/>
    <s v="F"/>
    <x v="0"/>
    <n v="100000"/>
    <n v="4"/>
    <x v="0"/>
    <s v="Management"/>
    <x v="0"/>
    <n v="4"/>
    <x v="0"/>
    <x v="2"/>
    <n v="40"/>
    <x v="0"/>
    <s v="No"/>
    <x v="0"/>
  </r>
  <r>
    <n v="17699"/>
    <s v="M"/>
    <x v="0"/>
    <s v="M"/>
    <x v="1"/>
    <n v="60000"/>
    <n v="1"/>
    <x v="4"/>
    <s v="Skilled Manual"/>
    <x v="1"/>
    <n v="0"/>
    <x v="0"/>
    <x v="2"/>
    <n v="55"/>
    <x v="1"/>
    <s v="No"/>
    <x v="0"/>
  </r>
  <r>
    <n v="14657"/>
    <s v="M"/>
    <x v="0"/>
    <s v="M"/>
    <x v="1"/>
    <n v="80000"/>
    <n v="1"/>
    <x v="1"/>
    <s v="Skilled Manual"/>
    <x v="1"/>
    <n v="1"/>
    <x v="0"/>
    <x v="2"/>
    <n v="47"/>
    <x v="0"/>
    <s v="Yes"/>
    <x v="1"/>
  </r>
  <r>
    <n v="11540"/>
    <s v="S"/>
    <x v="1"/>
    <s v="M"/>
    <x v="1"/>
    <n v="60000"/>
    <n v="4"/>
    <x v="4"/>
    <s v="Skilled Manual"/>
    <x v="0"/>
    <n v="0"/>
    <x v="3"/>
    <x v="2"/>
    <n v="47"/>
    <x v="0"/>
    <s v="Yes"/>
    <x v="1"/>
  </r>
  <r>
    <n v="11783"/>
    <s v="M"/>
    <x v="0"/>
    <s v="F"/>
    <x v="0"/>
    <n v="60000"/>
    <n v="1"/>
    <x v="4"/>
    <s v="Skilled Manual"/>
    <x v="0"/>
    <n v="0"/>
    <x v="0"/>
    <x v="2"/>
    <n v="34"/>
    <x v="0"/>
    <s v="No"/>
    <x v="0"/>
  </r>
  <r>
    <n v="14602"/>
    <s v="M"/>
    <x v="0"/>
    <s v="F"/>
    <x v="0"/>
    <n v="80000"/>
    <n v="3"/>
    <x v="4"/>
    <s v="Professional"/>
    <x v="0"/>
    <n v="0"/>
    <x v="0"/>
    <x v="2"/>
    <n v="36"/>
    <x v="0"/>
    <s v="Yes"/>
    <x v="1"/>
  </r>
  <r>
    <n v="29030"/>
    <s v="M"/>
    <x v="0"/>
    <s v="M"/>
    <x v="1"/>
    <n v="70000"/>
    <n v="2"/>
    <x v="3"/>
    <s v="Skilled Manual"/>
    <x v="0"/>
    <n v="2"/>
    <x v="4"/>
    <x v="2"/>
    <n v="54"/>
    <x v="0"/>
    <s v="No"/>
    <x v="0"/>
  </r>
  <r>
    <n v="26490"/>
    <s v="S"/>
    <x v="1"/>
    <s v="M"/>
    <x v="1"/>
    <n v="70000"/>
    <n v="2"/>
    <x v="0"/>
    <s v="Management"/>
    <x v="1"/>
    <n v="1"/>
    <x v="1"/>
    <x v="2"/>
    <n v="59"/>
    <x v="1"/>
    <s v="Yes"/>
    <x v="1"/>
  </r>
  <r>
    <n v="13151"/>
    <s v="S"/>
    <x v="1"/>
    <s v="M"/>
    <x v="1"/>
    <n v="40000"/>
    <n v="0"/>
    <x v="2"/>
    <s v="Skilled Manual"/>
    <x v="0"/>
    <n v="2"/>
    <x v="2"/>
    <x v="2"/>
    <n v="27"/>
    <x v="2"/>
    <s v="No"/>
    <x v="0"/>
  </r>
  <r>
    <n v="17260"/>
    <s v="M"/>
    <x v="0"/>
    <s v="M"/>
    <x v="1"/>
    <n v="90000"/>
    <n v="5"/>
    <x v="1"/>
    <s v="Professional"/>
    <x v="0"/>
    <n v="3"/>
    <x v="0"/>
    <x v="2"/>
    <n v="41"/>
    <x v="0"/>
    <s v="No"/>
    <x v="0"/>
  </r>
  <r>
    <n v="15372"/>
    <s v="M"/>
    <x v="0"/>
    <s v="M"/>
    <x v="1"/>
    <n v="80000"/>
    <n v="3"/>
    <x v="1"/>
    <s v="Professional"/>
    <x v="1"/>
    <n v="2"/>
    <x v="1"/>
    <x v="2"/>
    <n v="50"/>
    <x v="0"/>
    <s v="Yes"/>
    <x v="1"/>
  </r>
  <r>
    <n v="18105"/>
    <s v="M"/>
    <x v="0"/>
    <s v="F"/>
    <x v="0"/>
    <n v="60000"/>
    <n v="2"/>
    <x v="1"/>
    <s v="Professional"/>
    <x v="0"/>
    <n v="1"/>
    <x v="4"/>
    <x v="2"/>
    <n v="55"/>
    <x v="1"/>
    <s v="No"/>
    <x v="0"/>
  </r>
  <r>
    <n v="19660"/>
    <s v="M"/>
    <x v="0"/>
    <s v="M"/>
    <x v="1"/>
    <n v="80000"/>
    <n v="4"/>
    <x v="0"/>
    <s v="Management"/>
    <x v="0"/>
    <n v="0"/>
    <x v="0"/>
    <x v="2"/>
    <n v="43"/>
    <x v="0"/>
    <s v="No"/>
    <x v="0"/>
  </r>
  <r>
    <n v="16112"/>
    <s v="S"/>
    <x v="1"/>
    <s v="M"/>
    <x v="1"/>
    <n v="70000"/>
    <n v="4"/>
    <x v="0"/>
    <s v="Professional"/>
    <x v="0"/>
    <n v="2"/>
    <x v="1"/>
    <x v="2"/>
    <n v="43"/>
    <x v="0"/>
    <s v="Yes"/>
    <x v="1"/>
  </r>
  <r>
    <n v="20698"/>
    <s v="M"/>
    <x v="0"/>
    <s v="M"/>
    <x v="1"/>
    <n v="60000"/>
    <n v="4"/>
    <x v="0"/>
    <s v="Skilled Manual"/>
    <x v="0"/>
    <n v="3"/>
    <x v="2"/>
    <x v="2"/>
    <n v="42"/>
    <x v="0"/>
    <s v="No"/>
    <x v="0"/>
  </r>
  <r>
    <n v="20076"/>
    <s v="S"/>
    <x v="1"/>
    <s v="F"/>
    <x v="0"/>
    <n v="10000"/>
    <n v="2"/>
    <x v="2"/>
    <s v="Manual"/>
    <x v="0"/>
    <n v="2"/>
    <x v="3"/>
    <x v="2"/>
    <n v="53"/>
    <x v="0"/>
    <s v="Yes"/>
    <x v="1"/>
  </r>
  <r>
    <n v="24496"/>
    <s v="S"/>
    <x v="1"/>
    <s v="F"/>
    <x v="0"/>
    <n v="40000"/>
    <n v="0"/>
    <x v="2"/>
    <s v="Skilled Manual"/>
    <x v="1"/>
    <n v="2"/>
    <x v="0"/>
    <x v="2"/>
    <n v="28"/>
    <x v="2"/>
    <s v="Yes"/>
    <x v="1"/>
  </r>
  <r>
    <n v="15468"/>
    <s v="M"/>
    <x v="0"/>
    <s v="F"/>
    <x v="0"/>
    <n v="50000"/>
    <n v="1"/>
    <x v="0"/>
    <s v="Skilled Manual"/>
    <x v="0"/>
    <n v="1"/>
    <x v="0"/>
    <x v="2"/>
    <n v="35"/>
    <x v="0"/>
    <s v="No"/>
    <x v="0"/>
  </r>
  <r>
    <n v="28031"/>
    <s v="S"/>
    <x v="1"/>
    <s v="F"/>
    <x v="0"/>
    <n v="70000"/>
    <n v="2"/>
    <x v="0"/>
    <s v="Management"/>
    <x v="1"/>
    <n v="1"/>
    <x v="1"/>
    <x v="2"/>
    <n v="59"/>
    <x v="1"/>
    <s v="Yes"/>
    <x v="1"/>
  </r>
  <r>
    <n v="26270"/>
    <s v="S"/>
    <x v="1"/>
    <s v="F"/>
    <x v="0"/>
    <n v="20000"/>
    <n v="2"/>
    <x v="3"/>
    <s v="Clerical"/>
    <x v="0"/>
    <n v="2"/>
    <x v="3"/>
    <x v="2"/>
    <n v="49"/>
    <x v="0"/>
    <s v="No"/>
    <x v="0"/>
  </r>
  <r>
    <n v="22221"/>
    <s v="M"/>
    <x v="0"/>
    <s v="M"/>
    <x v="1"/>
    <n v="60000"/>
    <n v="2"/>
    <x v="2"/>
    <s v="Professional"/>
    <x v="1"/>
    <n v="2"/>
    <x v="3"/>
    <x v="2"/>
    <n v="48"/>
    <x v="0"/>
    <s v="Yes"/>
    <x v="1"/>
  </r>
  <r>
    <n v="28228"/>
    <s v="S"/>
    <x v="1"/>
    <s v="F"/>
    <x v="0"/>
    <n v="80000"/>
    <n v="2"/>
    <x v="3"/>
    <s v="Skilled Manual"/>
    <x v="1"/>
    <n v="2"/>
    <x v="3"/>
    <x v="2"/>
    <n v="50"/>
    <x v="0"/>
    <s v="No"/>
    <x v="0"/>
  </r>
  <r>
    <n v="18363"/>
    <s v="M"/>
    <x v="0"/>
    <s v="M"/>
    <x v="1"/>
    <n v="40000"/>
    <n v="0"/>
    <x v="2"/>
    <s v="Skilled Manual"/>
    <x v="0"/>
    <n v="2"/>
    <x v="2"/>
    <x v="2"/>
    <n v="28"/>
    <x v="2"/>
    <s v="Yes"/>
    <x v="1"/>
  </r>
  <r>
    <n v="23256"/>
    <s v="S"/>
    <x v="1"/>
    <s v="M"/>
    <x v="1"/>
    <n v="30000"/>
    <n v="1"/>
    <x v="2"/>
    <s v="Clerical"/>
    <x v="1"/>
    <n v="1"/>
    <x v="2"/>
    <x v="2"/>
    <n v="52"/>
    <x v="0"/>
    <s v="No"/>
    <x v="0"/>
  </r>
  <r>
    <n v="12768"/>
    <s v="M"/>
    <x v="0"/>
    <s v="M"/>
    <x v="1"/>
    <n v="30000"/>
    <n v="1"/>
    <x v="2"/>
    <s v="Clerical"/>
    <x v="0"/>
    <n v="1"/>
    <x v="1"/>
    <x v="2"/>
    <n v="52"/>
    <x v="0"/>
    <s v="Yes"/>
    <x v="1"/>
  </r>
  <r>
    <n v="20361"/>
    <s v="M"/>
    <x v="0"/>
    <s v="M"/>
    <x v="1"/>
    <n v="50000"/>
    <n v="2"/>
    <x v="4"/>
    <s v="Management"/>
    <x v="0"/>
    <n v="2"/>
    <x v="2"/>
    <x v="2"/>
    <n v="69"/>
    <x v="1"/>
    <s v="No"/>
    <x v="0"/>
  </r>
  <r>
    <n v="21306"/>
    <s v="S"/>
    <x v="1"/>
    <s v="M"/>
    <x v="1"/>
    <n v="60000"/>
    <n v="2"/>
    <x v="2"/>
    <s v="Professional"/>
    <x v="0"/>
    <n v="2"/>
    <x v="2"/>
    <x v="2"/>
    <n v="51"/>
    <x v="0"/>
    <s v="No"/>
    <x v="0"/>
  </r>
  <r>
    <n v="13382"/>
    <s v="M"/>
    <x v="0"/>
    <s v="M"/>
    <x v="1"/>
    <n v="70000"/>
    <n v="5"/>
    <x v="1"/>
    <s v="Professional"/>
    <x v="0"/>
    <n v="2"/>
    <x v="3"/>
    <x v="2"/>
    <n v="57"/>
    <x v="1"/>
    <s v="Yes"/>
    <x v="1"/>
  </r>
  <r>
    <n v="20310"/>
    <s v="S"/>
    <x v="1"/>
    <s v="M"/>
    <x v="1"/>
    <n v="60000"/>
    <n v="0"/>
    <x v="1"/>
    <s v="Skilled Manual"/>
    <x v="0"/>
    <n v="1"/>
    <x v="2"/>
    <x v="2"/>
    <n v="27"/>
    <x v="2"/>
    <s v="Yes"/>
    <x v="1"/>
  </r>
  <r>
    <n v="22971"/>
    <s v="S"/>
    <x v="1"/>
    <s v="F"/>
    <x v="0"/>
    <n v="30000"/>
    <n v="0"/>
    <x v="2"/>
    <s v="Skilled Manual"/>
    <x v="1"/>
    <n v="2"/>
    <x v="0"/>
    <x v="2"/>
    <n v="25"/>
    <x v="2"/>
    <s v="Yes"/>
    <x v="1"/>
  </r>
  <r>
    <n v="15287"/>
    <s v="S"/>
    <x v="1"/>
    <s v="F"/>
    <x v="0"/>
    <n v="50000"/>
    <n v="1"/>
    <x v="4"/>
    <s v="Skilled Manual"/>
    <x v="0"/>
    <n v="0"/>
    <x v="3"/>
    <x v="2"/>
    <n v="33"/>
    <x v="0"/>
    <s v="Yes"/>
    <x v="1"/>
  </r>
  <r>
    <n v="15532"/>
    <s v="S"/>
    <x v="1"/>
    <s v="M"/>
    <x v="1"/>
    <n v="60000"/>
    <n v="4"/>
    <x v="0"/>
    <s v="Professional"/>
    <x v="0"/>
    <n v="2"/>
    <x v="1"/>
    <x v="2"/>
    <n v="43"/>
    <x v="0"/>
    <s v="Yes"/>
    <x v="1"/>
  </r>
  <r>
    <n v="11255"/>
    <s v="M"/>
    <x v="0"/>
    <s v="M"/>
    <x v="1"/>
    <n v="70000"/>
    <n v="4"/>
    <x v="4"/>
    <s v="Management"/>
    <x v="0"/>
    <n v="2"/>
    <x v="2"/>
    <x v="2"/>
    <n v="73"/>
    <x v="1"/>
    <s v="No"/>
    <x v="0"/>
  </r>
  <r>
    <n v="28090"/>
    <s v="M"/>
    <x v="0"/>
    <s v="M"/>
    <x v="1"/>
    <n v="40000"/>
    <n v="0"/>
    <x v="1"/>
    <s v="Skilled Manual"/>
    <x v="0"/>
    <n v="1"/>
    <x v="2"/>
    <x v="2"/>
    <n v="27"/>
    <x v="2"/>
    <s v="No"/>
    <x v="0"/>
  </r>
  <r>
    <n v="15255"/>
    <s v="M"/>
    <x v="0"/>
    <s v="M"/>
    <x v="1"/>
    <n v="40000"/>
    <n v="0"/>
    <x v="2"/>
    <s v="Skilled Manual"/>
    <x v="0"/>
    <n v="2"/>
    <x v="2"/>
    <x v="2"/>
    <n v="28"/>
    <x v="2"/>
    <s v="Yes"/>
    <x v="1"/>
  </r>
  <r>
    <n v="13154"/>
    <s v="M"/>
    <x v="0"/>
    <s v="M"/>
    <x v="1"/>
    <n v="40000"/>
    <n v="0"/>
    <x v="2"/>
    <s v="Skilled Manual"/>
    <x v="1"/>
    <n v="2"/>
    <x v="0"/>
    <x v="2"/>
    <n v="27"/>
    <x v="2"/>
    <s v="Yes"/>
    <x v="1"/>
  </r>
  <r>
    <n v="26778"/>
    <s v="S"/>
    <x v="1"/>
    <s v="F"/>
    <x v="0"/>
    <n v="40000"/>
    <n v="0"/>
    <x v="2"/>
    <s v="Skilled Manual"/>
    <x v="0"/>
    <n v="2"/>
    <x v="2"/>
    <x v="2"/>
    <n v="31"/>
    <x v="0"/>
    <s v="No"/>
    <x v="0"/>
  </r>
  <r>
    <n v="23248"/>
    <s v="M"/>
    <x v="0"/>
    <s v="F"/>
    <x v="0"/>
    <n v="10000"/>
    <n v="2"/>
    <x v="2"/>
    <s v="Manual"/>
    <x v="0"/>
    <n v="2"/>
    <x v="3"/>
    <x v="2"/>
    <n v="53"/>
    <x v="0"/>
    <s v="No"/>
    <x v="0"/>
  </r>
  <r>
    <n v="21417"/>
    <s v="S"/>
    <x v="1"/>
    <s v="F"/>
    <x v="0"/>
    <n v="60000"/>
    <n v="0"/>
    <x v="1"/>
    <s v="Professional"/>
    <x v="1"/>
    <n v="2"/>
    <x v="3"/>
    <x v="2"/>
    <n v="32"/>
    <x v="0"/>
    <s v="Yes"/>
    <x v="1"/>
  </r>
  <r>
    <n v="17668"/>
    <s v="S"/>
    <x v="1"/>
    <s v="M"/>
    <x v="1"/>
    <n v="30000"/>
    <n v="2"/>
    <x v="2"/>
    <s v="Skilled Manual"/>
    <x v="0"/>
    <n v="2"/>
    <x v="3"/>
    <x v="2"/>
    <n v="50"/>
    <x v="0"/>
    <s v="Yes"/>
    <x v="1"/>
  </r>
  <r>
    <n v="27994"/>
    <s v="M"/>
    <x v="0"/>
    <s v="F"/>
    <x v="0"/>
    <n v="40000"/>
    <n v="4"/>
    <x v="2"/>
    <s v="Professional"/>
    <x v="0"/>
    <n v="2"/>
    <x v="2"/>
    <x v="2"/>
    <n v="69"/>
    <x v="1"/>
    <s v="No"/>
    <x v="0"/>
  </r>
  <r>
    <n v="20376"/>
    <s v="S"/>
    <x v="1"/>
    <s v="F"/>
    <x v="0"/>
    <n v="70000"/>
    <n v="3"/>
    <x v="4"/>
    <s v="Management"/>
    <x v="0"/>
    <n v="2"/>
    <x v="2"/>
    <x v="2"/>
    <n v="52"/>
    <x v="0"/>
    <s v="Yes"/>
    <x v="1"/>
  </r>
  <r>
    <n v="25954"/>
    <s v="M"/>
    <x v="0"/>
    <s v="M"/>
    <x v="1"/>
    <n v="60000"/>
    <n v="0"/>
    <x v="1"/>
    <s v="Skilled Manual"/>
    <x v="1"/>
    <n v="2"/>
    <x v="3"/>
    <x v="2"/>
    <n v="31"/>
    <x v="0"/>
    <s v="No"/>
    <x v="0"/>
  </r>
  <r>
    <n v="15749"/>
    <s v="S"/>
    <x v="1"/>
    <s v="F"/>
    <x v="0"/>
    <n v="70000"/>
    <n v="4"/>
    <x v="0"/>
    <s v="Management"/>
    <x v="0"/>
    <n v="2"/>
    <x v="4"/>
    <x v="2"/>
    <n v="61"/>
    <x v="1"/>
    <s v="No"/>
    <x v="0"/>
  </r>
  <r>
    <n v="25899"/>
    <s v="M"/>
    <x v="0"/>
    <s v="F"/>
    <x v="0"/>
    <n v="70000"/>
    <n v="2"/>
    <x v="2"/>
    <s v="Professional"/>
    <x v="0"/>
    <n v="2"/>
    <x v="4"/>
    <x v="2"/>
    <n v="53"/>
    <x v="0"/>
    <s v="No"/>
    <x v="0"/>
  </r>
  <r>
    <n v="13351"/>
    <s v="S"/>
    <x v="1"/>
    <s v="F"/>
    <x v="0"/>
    <n v="70000"/>
    <n v="4"/>
    <x v="0"/>
    <s v="Management"/>
    <x v="0"/>
    <n v="2"/>
    <x v="3"/>
    <x v="2"/>
    <n v="62"/>
    <x v="1"/>
    <s v="Yes"/>
    <x v="1"/>
  </r>
  <r>
    <n v="23333"/>
    <s v="M"/>
    <x v="0"/>
    <s v="M"/>
    <x v="1"/>
    <n v="40000"/>
    <n v="0"/>
    <x v="1"/>
    <s v="Skilled Manual"/>
    <x v="1"/>
    <n v="2"/>
    <x v="3"/>
    <x v="2"/>
    <n v="30"/>
    <x v="2"/>
    <s v="No"/>
    <x v="0"/>
  </r>
  <r>
    <n v="21660"/>
    <s v="M"/>
    <x v="0"/>
    <s v="F"/>
    <x v="0"/>
    <n v="60000"/>
    <n v="3"/>
    <x v="4"/>
    <s v="Professional"/>
    <x v="0"/>
    <n v="0"/>
    <x v="1"/>
    <x v="2"/>
    <n v="43"/>
    <x v="0"/>
    <s v="Yes"/>
    <x v="1"/>
  </r>
  <r>
    <n v="17012"/>
    <s v="M"/>
    <x v="0"/>
    <s v="F"/>
    <x v="0"/>
    <n v="60000"/>
    <n v="3"/>
    <x v="4"/>
    <s v="Professional"/>
    <x v="0"/>
    <n v="0"/>
    <x v="1"/>
    <x v="2"/>
    <n v="42"/>
    <x v="0"/>
    <s v="Yes"/>
    <x v="1"/>
  </r>
  <r>
    <n v="24514"/>
    <s v="M"/>
    <x v="0"/>
    <s v="M"/>
    <x v="1"/>
    <n v="40000"/>
    <n v="0"/>
    <x v="1"/>
    <s v="Skilled Manual"/>
    <x v="0"/>
    <n v="1"/>
    <x v="2"/>
    <x v="2"/>
    <n v="30"/>
    <x v="2"/>
    <s v="No"/>
    <x v="0"/>
  </r>
  <r>
    <n v="27505"/>
    <s v="S"/>
    <x v="1"/>
    <s v="F"/>
    <x v="0"/>
    <n v="40000"/>
    <n v="0"/>
    <x v="2"/>
    <s v="Skilled Manual"/>
    <x v="0"/>
    <n v="2"/>
    <x v="2"/>
    <x v="2"/>
    <n v="30"/>
    <x v="2"/>
    <s v="No"/>
    <x v="0"/>
  </r>
  <r>
    <n v="29243"/>
    <s v="S"/>
    <x v="1"/>
    <s v="M"/>
    <x v="1"/>
    <n v="110000"/>
    <n v="1"/>
    <x v="0"/>
    <s v="Management"/>
    <x v="0"/>
    <n v="1"/>
    <x v="2"/>
    <x v="2"/>
    <n v="43"/>
    <x v="0"/>
    <s v="No"/>
    <x v="0"/>
  </r>
  <r>
    <n v="26582"/>
    <s v="M"/>
    <x v="0"/>
    <s v="M"/>
    <x v="1"/>
    <n v="60000"/>
    <n v="0"/>
    <x v="1"/>
    <s v="Skilled Manual"/>
    <x v="0"/>
    <n v="2"/>
    <x v="2"/>
    <x v="2"/>
    <n v="33"/>
    <x v="0"/>
    <s v="Yes"/>
    <x v="1"/>
  </r>
  <r>
    <n v="14271"/>
    <s v="M"/>
    <x v="0"/>
    <s v="M"/>
    <x v="1"/>
    <n v="30000"/>
    <n v="0"/>
    <x v="2"/>
    <s v="Skilled Manual"/>
    <x v="0"/>
    <n v="2"/>
    <x v="2"/>
    <x v="2"/>
    <n v="32"/>
    <x v="0"/>
    <s v="No"/>
    <x v="0"/>
  </r>
  <r>
    <n v="23041"/>
    <s v="S"/>
    <x v="1"/>
    <s v="F"/>
    <x v="0"/>
    <n v="70000"/>
    <n v="4"/>
    <x v="2"/>
    <s v="Professional"/>
    <x v="0"/>
    <n v="0"/>
    <x v="2"/>
    <x v="2"/>
    <n v="50"/>
    <x v="0"/>
    <s v="Yes"/>
    <x v="1"/>
  </r>
  <r>
    <n v="29048"/>
    <s v="S"/>
    <x v="1"/>
    <s v="M"/>
    <x v="1"/>
    <n v="110000"/>
    <n v="2"/>
    <x v="0"/>
    <s v="Management"/>
    <x v="1"/>
    <n v="3"/>
    <x v="0"/>
    <x v="2"/>
    <n v="37"/>
    <x v="0"/>
    <s v="Yes"/>
    <x v="1"/>
  </r>
  <r>
    <n v="24433"/>
    <s v="M"/>
    <x v="0"/>
    <s v="M"/>
    <x v="1"/>
    <n v="70000"/>
    <n v="3"/>
    <x v="2"/>
    <s v="Professional"/>
    <x v="1"/>
    <n v="1"/>
    <x v="3"/>
    <x v="2"/>
    <n v="52"/>
    <x v="0"/>
    <s v="Yes"/>
    <x v="1"/>
  </r>
  <r>
    <n v="15501"/>
    <s v="M"/>
    <x v="0"/>
    <s v="M"/>
    <x v="1"/>
    <n v="70000"/>
    <n v="4"/>
    <x v="4"/>
    <s v="Professional"/>
    <x v="0"/>
    <n v="0"/>
    <x v="1"/>
    <x v="2"/>
    <n v="36"/>
    <x v="0"/>
    <s v="Yes"/>
    <x v="1"/>
  </r>
  <r>
    <n v="13911"/>
    <s v="S"/>
    <x v="1"/>
    <s v="F"/>
    <x v="0"/>
    <n v="80000"/>
    <n v="3"/>
    <x v="0"/>
    <s v="Skilled Manual"/>
    <x v="0"/>
    <n v="2"/>
    <x v="1"/>
    <x v="2"/>
    <n v="41"/>
    <x v="0"/>
    <s v="Yes"/>
    <x v="1"/>
  </r>
  <r>
    <n v="20421"/>
    <s v="S"/>
    <x v="1"/>
    <s v="F"/>
    <x v="0"/>
    <n v="40000"/>
    <n v="0"/>
    <x v="3"/>
    <s v="Clerical"/>
    <x v="0"/>
    <n v="2"/>
    <x v="2"/>
    <x v="2"/>
    <n v="26"/>
    <x v="2"/>
    <s v="No"/>
    <x v="0"/>
  </r>
  <r>
    <n v="16009"/>
    <s v="S"/>
    <x v="1"/>
    <s v="M"/>
    <x v="1"/>
    <n v="170000"/>
    <n v="1"/>
    <x v="4"/>
    <s v="Management"/>
    <x v="1"/>
    <n v="4"/>
    <x v="0"/>
    <x v="2"/>
    <n v="66"/>
    <x v="1"/>
    <s v="No"/>
    <x v="0"/>
  </r>
  <r>
    <n v="18411"/>
    <s v="M"/>
    <x v="0"/>
    <s v="M"/>
    <x v="1"/>
    <n v="60000"/>
    <n v="2"/>
    <x v="2"/>
    <s v="Professional"/>
    <x v="1"/>
    <n v="2"/>
    <x v="2"/>
    <x v="2"/>
    <n v="51"/>
    <x v="0"/>
    <s v="No"/>
    <x v="0"/>
  </r>
  <r>
    <n v="19163"/>
    <s v="M"/>
    <x v="0"/>
    <s v="F"/>
    <x v="0"/>
    <n v="70000"/>
    <n v="4"/>
    <x v="0"/>
    <s v="Professional"/>
    <x v="0"/>
    <n v="2"/>
    <x v="0"/>
    <x v="2"/>
    <n v="43"/>
    <x v="0"/>
    <s v="Yes"/>
    <x v="1"/>
  </r>
  <r>
    <n v="18572"/>
    <s v="M"/>
    <x v="0"/>
    <s v="F"/>
    <x v="0"/>
    <n v="60000"/>
    <n v="0"/>
    <x v="4"/>
    <s v="Professional"/>
    <x v="0"/>
    <n v="0"/>
    <x v="0"/>
    <x v="2"/>
    <n v="39"/>
    <x v="0"/>
    <s v="No"/>
    <x v="0"/>
  </r>
  <r>
    <n v="27540"/>
    <s v="S"/>
    <x v="1"/>
    <s v="F"/>
    <x v="0"/>
    <n v="70000"/>
    <n v="0"/>
    <x v="0"/>
    <s v="Professional"/>
    <x v="1"/>
    <n v="1"/>
    <x v="0"/>
    <x v="2"/>
    <n v="37"/>
    <x v="0"/>
    <s v="Yes"/>
    <x v="1"/>
  </r>
  <r>
    <n v="19889"/>
    <s v="S"/>
    <x v="1"/>
    <s v="F"/>
    <x v="0"/>
    <n v="70000"/>
    <n v="2"/>
    <x v="3"/>
    <s v="Skilled Manual"/>
    <x v="1"/>
    <n v="2"/>
    <x v="1"/>
    <x v="2"/>
    <n v="54"/>
    <x v="0"/>
    <s v="Yes"/>
    <x v="1"/>
  </r>
  <r>
    <n v="12922"/>
    <s v="S"/>
    <x v="1"/>
    <s v="F"/>
    <x v="0"/>
    <n v="60000"/>
    <n v="3"/>
    <x v="0"/>
    <s v="Skilled Manual"/>
    <x v="0"/>
    <n v="0"/>
    <x v="1"/>
    <x v="2"/>
    <n v="40"/>
    <x v="0"/>
    <s v="Yes"/>
    <x v="1"/>
  </r>
  <r>
    <n v="18891"/>
    <s v="M"/>
    <x v="0"/>
    <s v="F"/>
    <x v="0"/>
    <n v="40000"/>
    <n v="0"/>
    <x v="1"/>
    <s v="Skilled Manual"/>
    <x v="0"/>
    <n v="2"/>
    <x v="2"/>
    <x v="2"/>
    <n v="28"/>
    <x v="2"/>
    <s v="No"/>
    <x v="0"/>
  </r>
  <r>
    <n v="16773"/>
    <s v="M"/>
    <x v="0"/>
    <s v="M"/>
    <x v="1"/>
    <n v="60000"/>
    <n v="1"/>
    <x v="4"/>
    <s v="Skilled Manual"/>
    <x v="0"/>
    <n v="0"/>
    <x v="0"/>
    <x v="2"/>
    <n v="33"/>
    <x v="0"/>
    <s v="No"/>
    <x v="0"/>
  </r>
  <r>
    <n v="19143"/>
    <s v="S"/>
    <x v="1"/>
    <s v="F"/>
    <x v="0"/>
    <n v="80000"/>
    <n v="3"/>
    <x v="0"/>
    <s v="Skilled Manual"/>
    <x v="0"/>
    <n v="2"/>
    <x v="1"/>
    <x v="2"/>
    <n v="41"/>
    <x v="0"/>
    <s v="Yes"/>
    <x v="1"/>
  </r>
  <r>
    <n v="23882"/>
    <s v="S"/>
    <x v="1"/>
    <s v="F"/>
    <x v="0"/>
    <n v="80000"/>
    <n v="3"/>
    <x v="4"/>
    <s v="Professional"/>
    <x v="0"/>
    <n v="0"/>
    <x v="0"/>
    <x v="2"/>
    <n v="37"/>
    <x v="0"/>
    <s v="Yes"/>
    <x v="1"/>
  </r>
  <r>
    <n v="11233"/>
    <s v="M"/>
    <x v="0"/>
    <s v="M"/>
    <x v="1"/>
    <n v="70000"/>
    <n v="4"/>
    <x v="1"/>
    <s v="Professional"/>
    <x v="0"/>
    <n v="2"/>
    <x v="4"/>
    <x v="2"/>
    <n v="53"/>
    <x v="0"/>
    <s v="No"/>
    <x v="0"/>
  </r>
  <r>
    <n v="12056"/>
    <s v="M"/>
    <x v="0"/>
    <s v="M"/>
    <x v="1"/>
    <n v="120000"/>
    <n v="2"/>
    <x v="4"/>
    <s v="Management"/>
    <x v="0"/>
    <n v="3"/>
    <x v="2"/>
    <x v="2"/>
    <n v="64"/>
    <x v="1"/>
    <s v="No"/>
    <x v="0"/>
  </r>
  <r>
    <n v="15555"/>
    <s v="M"/>
    <x v="0"/>
    <s v="F"/>
    <x v="0"/>
    <n v="60000"/>
    <n v="1"/>
    <x v="1"/>
    <s v="Skilled Manual"/>
    <x v="0"/>
    <n v="1"/>
    <x v="1"/>
    <x v="2"/>
    <n v="45"/>
    <x v="0"/>
    <s v="Yes"/>
    <x v="1"/>
  </r>
  <r>
    <n v="18423"/>
    <s v="S"/>
    <x v="1"/>
    <s v="M"/>
    <x v="1"/>
    <n v="80000"/>
    <n v="2"/>
    <x v="3"/>
    <s v="Skilled Manual"/>
    <x v="1"/>
    <n v="2"/>
    <x v="3"/>
    <x v="2"/>
    <n v="52"/>
    <x v="0"/>
    <s v="No"/>
    <x v="0"/>
  </r>
  <r>
    <n v="22743"/>
    <s v="M"/>
    <x v="0"/>
    <s v="F"/>
    <x v="0"/>
    <n v="40000"/>
    <n v="5"/>
    <x v="2"/>
    <s v="Professional"/>
    <x v="0"/>
    <n v="2"/>
    <x v="4"/>
    <x v="2"/>
    <n v="60"/>
    <x v="1"/>
    <s v="No"/>
    <x v="0"/>
  </r>
  <r>
    <n v="25343"/>
    <s v="S"/>
    <x v="1"/>
    <s v="F"/>
    <x v="0"/>
    <n v="20000"/>
    <n v="3"/>
    <x v="3"/>
    <s v="Clerical"/>
    <x v="0"/>
    <n v="2"/>
    <x v="3"/>
    <x v="2"/>
    <n v="50"/>
    <x v="0"/>
    <s v="No"/>
    <x v="0"/>
  </r>
  <r>
    <n v="13390"/>
    <s v="M"/>
    <x v="0"/>
    <s v="F"/>
    <x v="0"/>
    <n v="70000"/>
    <n v="4"/>
    <x v="1"/>
    <s v="Professional"/>
    <x v="1"/>
    <n v="1"/>
    <x v="3"/>
    <x v="2"/>
    <n v="56"/>
    <x v="1"/>
    <s v="No"/>
    <x v="0"/>
  </r>
  <r>
    <n v="17482"/>
    <s v="S"/>
    <x v="1"/>
    <s v="F"/>
    <x v="0"/>
    <n v="40000"/>
    <n v="0"/>
    <x v="3"/>
    <s v="Clerical"/>
    <x v="0"/>
    <n v="2"/>
    <x v="2"/>
    <x v="2"/>
    <n v="29"/>
    <x v="2"/>
    <s v="No"/>
    <x v="0"/>
  </r>
  <r>
    <n v="13176"/>
    <s v="S"/>
    <x v="1"/>
    <s v="M"/>
    <x v="1"/>
    <n v="130000"/>
    <n v="0"/>
    <x v="4"/>
    <s v="Management"/>
    <x v="1"/>
    <n v="2"/>
    <x v="0"/>
    <x v="2"/>
    <n v="38"/>
    <x v="0"/>
    <s v="Yes"/>
    <x v="1"/>
  </r>
  <r>
    <n v="20504"/>
    <s v="M"/>
    <x v="0"/>
    <s v="F"/>
    <x v="0"/>
    <n v="40000"/>
    <n v="5"/>
    <x v="2"/>
    <s v="Professional"/>
    <x v="1"/>
    <n v="2"/>
    <x v="1"/>
    <x v="2"/>
    <n v="60"/>
    <x v="1"/>
    <s v="No"/>
    <x v="0"/>
  </r>
  <r>
    <n v="12205"/>
    <s v="S"/>
    <x v="1"/>
    <s v="F"/>
    <x v="0"/>
    <n v="130000"/>
    <n v="2"/>
    <x v="0"/>
    <s v="Management"/>
    <x v="1"/>
    <n v="4"/>
    <x v="0"/>
    <x v="2"/>
    <n v="67"/>
    <x v="1"/>
    <s v="No"/>
    <x v="0"/>
  </r>
  <r>
    <n v="16751"/>
    <s v="M"/>
    <x v="0"/>
    <s v="M"/>
    <x v="1"/>
    <n v="60000"/>
    <n v="0"/>
    <x v="1"/>
    <s v="Skilled Manual"/>
    <x v="0"/>
    <n v="1"/>
    <x v="2"/>
    <x v="2"/>
    <n v="32"/>
    <x v="0"/>
    <s v="Yes"/>
    <x v="1"/>
  </r>
  <r>
    <n v="21613"/>
    <s v="S"/>
    <x v="1"/>
    <s v="M"/>
    <x v="1"/>
    <n v="50000"/>
    <n v="2"/>
    <x v="0"/>
    <s v="Skilled Manual"/>
    <x v="1"/>
    <n v="1"/>
    <x v="0"/>
    <x v="2"/>
    <n v="39"/>
    <x v="0"/>
    <s v="Yes"/>
    <x v="1"/>
  </r>
  <r>
    <n v="24801"/>
    <s v="S"/>
    <x v="1"/>
    <s v="M"/>
    <x v="1"/>
    <n v="60000"/>
    <n v="1"/>
    <x v="4"/>
    <s v="Professional"/>
    <x v="0"/>
    <n v="0"/>
    <x v="1"/>
    <x v="2"/>
    <n v="35"/>
    <x v="0"/>
    <s v="Yes"/>
    <x v="1"/>
  </r>
  <r>
    <n v="17519"/>
    <s v="M"/>
    <x v="0"/>
    <s v="F"/>
    <x v="0"/>
    <n v="60000"/>
    <n v="0"/>
    <x v="1"/>
    <s v="Professional"/>
    <x v="0"/>
    <n v="2"/>
    <x v="2"/>
    <x v="2"/>
    <n v="32"/>
    <x v="0"/>
    <s v="No"/>
    <x v="0"/>
  </r>
  <r>
    <n v="18347"/>
    <s v="S"/>
    <x v="1"/>
    <s v="F"/>
    <x v="0"/>
    <n v="30000"/>
    <n v="0"/>
    <x v="1"/>
    <s v="Skilled Manual"/>
    <x v="1"/>
    <n v="1"/>
    <x v="3"/>
    <x v="2"/>
    <n v="31"/>
    <x v="0"/>
    <s v="No"/>
    <x v="0"/>
  </r>
  <r>
    <n v="29052"/>
    <s v="S"/>
    <x v="1"/>
    <s v="M"/>
    <x v="1"/>
    <n v="40000"/>
    <n v="0"/>
    <x v="1"/>
    <s v="Skilled Manual"/>
    <x v="0"/>
    <n v="1"/>
    <x v="2"/>
    <x v="2"/>
    <n v="27"/>
    <x v="2"/>
    <s v="No"/>
    <x v="0"/>
  </r>
  <r>
    <n v="11745"/>
    <s v="M"/>
    <x v="0"/>
    <s v="F"/>
    <x v="0"/>
    <n v="60000"/>
    <n v="1"/>
    <x v="0"/>
    <s v="Professional"/>
    <x v="0"/>
    <n v="1"/>
    <x v="0"/>
    <x v="2"/>
    <n v="47"/>
    <x v="0"/>
    <s v="Yes"/>
    <x v="1"/>
  </r>
  <r>
    <n v="19147"/>
    <s v="M"/>
    <x v="0"/>
    <s v="M"/>
    <x v="1"/>
    <n v="40000"/>
    <n v="0"/>
    <x v="0"/>
    <s v="Professional"/>
    <x v="1"/>
    <n v="1"/>
    <x v="0"/>
    <x v="2"/>
    <n v="42"/>
    <x v="0"/>
    <s v="No"/>
    <x v="0"/>
  </r>
  <r>
    <n v="19217"/>
    <s v="M"/>
    <x v="0"/>
    <s v="M"/>
    <x v="1"/>
    <n v="30000"/>
    <n v="2"/>
    <x v="2"/>
    <s v="Skilled Manual"/>
    <x v="0"/>
    <n v="2"/>
    <x v="3"/>
    <x v="2"/>
    <n v="49"/>
    <x v="0"/>
    <s v="No"/>
    <x v="0"/>
  </r>
  <r>
    <n v="15839"/>
    <s v="S"/>
    <x v="1"/>
    <s v="M"/>
    <x v="1"/>
    <n v="30000"/>
    <n v="0"/>
    <x v="1"/>
    <s v="Skilled Manual"/>
    <x v="0"/>
    <n v="1"/>
    <x v="2"/>
    <x v="2"/>
    <n v="32"/>
    <x v="0"/>
    <s v="No"/>
    <x v="0"/>
  </r>
  <r>
    <n v="13714"/>
    <s v="M"/>
    <x v="0"/>
    <s v="F"/>
    <x v="0"/>
    <n v="20000"/>
    <n v="2"/>
    <x v="2"/>
    <s v="Manual"/>
    <x v="1"/>
    <n v="2"/>
    <x v="3"/>
    <x v="2"/>
    <n v="53"/>
    <x v="0"/>
    <s v="Yes"/>
    <x v="1"/>
  </r>
  <r>
    <n v="22330"/>
    <s v="M"/>
    <x v="0"/>
    <s v="M"/>
    <x v="1"/>
    <n v="50000"/>
    <n v="0"/>
    <x v="4"/>
    <s v="Skilled Manual"/>
    <x v="0"/>
    <n v="0"/>
    <x v="3"/>
    <x v="2"/>
    <n v="32"/>
    <x v="0"/>
    <s v="Yes"/>
    <x v="1"/>
  </r>
  <r>
    <n v="18783"/>
    <s v="S"/>
    <x v="1"/>
    <s v="M"/>
    <x v="1"/>
    <n v="80000"/>
    <n v="0"/>
    <x v="0"/>
    <s v="Management"/>
    <x v="1"/>
    <n v="1"/>
    <x v="0"/>
    <x v="2"/>
    <n v="38"/>
    <x v="0"/>
    <s v="Yes"/>
    <x v="1"/>
  </r>
  <r>
    <n v="25041"/>
    <s v="S"/>
    <x v="1"/>
    <s v="M"/>
    <x v="1"/>
    <n v="40000"/>
    <n v="0"/>
    <x v="2"/>
    <s v="Skilled Manual"/>
    <x v="0"/>
    <n v="2"/>
    <x v="2"/>
    <x v="2"/>
    <n v="31"/>
    <x v="0"/>
    <s v="No"/>
    <x v="0"/>
  </r>
  <r>
    <n v="22046"/>
    <s v="S"/>
    <x v="1"/>
    <s v="F"/>
    <x v="0"/>
    <n v="80000"/>
    <n v="0"/>
    <x v="0"/>
    <s v="Management"/>
    <x v="1"/>
    <n v="1"/>
    <x v="0"/>
    <x v="2"/>
    <n v="38"/>
    <x v="0"/>
    <s v="Yes"/>
    <x v="1"/>
  </r>
  <r>
    <n v="28052"/>
    <s v="M"/>
    <x v="0"/>
    <s v="M"/>
    <x v="1"/>
    <n v="60000"/>
    <n v="2"/>
    <x v="2"/>
    <s v="Professional"/>
    <x v="0"/>
    <n v="2"/>
    <x v="4"/>
    <x v="2"/>
    <n v="55"/>
    <x v="1"/>
    <s v="No"/>
    <x v="0"/>
  </r>
  <r>
    <n v="26693"/>
    <s v="M"/>
    <x v="0"/>
    <s v="M"/>
    <x v="1"/>
    <n v="70000"/>
    <n v="3"/>
    <x v="1"/>
    <s v="Professional"/>
    <x v="0"/>
    <n v="1"/>
    <x v="2"/>
    <x v="2"/>
    <n v="49"/>
    <x v="0"/>
    <s v="No"/>
    <x v="0"/>
  </r>
  <r>
    <n v="24955"/>
    <s v="S"/>
    <x v="1"/>
    <s v="M"/>
    <x v="1"/>
    <n v="30000"/>
    <n v="5"/>
    <x v="3"/>
    <s v="Skilled Manual"/>
    <x v="0"/>
    <n v="3"/>
    <x v="4"/>
    <x v="2"/>
    <n v="60"/>
    <x v="1"/>
    <s v="Yes"/>
    <x v="1"/>
  </r>
  <r>
    <n v="26065"/>
    <s v="S"/>
    <x v="1"/>
    <s v="F"/>
    <x v="0"/>
    <n v="110000"/>
    <n v="3"/>
    <x v="0"/>
    <s v="Management"/>
    <x v="1"/>
    <n v="4"/>
    <x v="3"/>
    <x v="2"/>
    <n v="42"/>
    <x v="0"/>
    <s v="No"/>
    <x v="0"/>
  </r>
  <r>
    <n v="13942"/>
    <s v="M"/>
    <x v="0"/>
    <s v="M"/>
    <x v="1"/>
    <n v="60000"/>
    <n v="1"/>
    <x v="1"/>
    <s v="Skilled Manual"/>
    <x v="0"/>
    <n v="1"/>
    <x v="0"/>
    <x v="2"/>
    <n v="46"/>
    <x v="0"/>
    <s v="No"/>
    <x v="0"/>
  </r>
  <r>
    <n v="11219"/>
    <s v="M"/>
    <x v="0"/>
    <s v="M"/>
    <x v="1"/>
    <n v="60000"/>
    <n v="2"/>
    <x v="2"/>
    <s v="Professional"/>
    <x v="0"/>
    <n v="2"/>
    <x v="4"/>
    <x v="2"/>
    <n v="55"/>
    <x v="1"/>
    <s v="No"/>
    <x v="0"/>
  </r>
  <r>
    <n v="22118"/>
    <s v="S"/>
    <x v="1"/>
    <s v="F"/>
    <x v="0"/>
    <n v="70000"/>
    <n v="3"/>
    <x v="4"/>
    <s v="Management"/>
    <x v="0"/>
    <n v="2"/>
    <x v="2"/>
    <x v="2"/>
    <n v="53"/>
    <x v="0"/>
    <s v="Yes"/>
    <x v="1"/>
  </r>
  <r>
    <n v="23197"/>
    <s v="M"/>
    <x v="0"/>
    <s v="M"/>
    <x v="1"/>
    <n v="50000"/>
    <n v="3"/>
    <x v="0"/>
    <s v="Skilled Manual"/>
    <x v="0"/>
    <n v="2"/>
    <x v="1"/>
    <x v="2"/>
    <n v="40"/>
    <x v="0"/>
    <s v="No"/>
    <x v="0"/>
  </r>
  <r>
    <n v="14883"/>
    <s v="M"/>
    <x v="0"/>
    <s v="F"/>
    <x v="0"/>
    <n v="30000"/>
    <n v="1"/>
    <x v="0"/>
    <s v="Skilled Manual"/>
    <x v="0"/>
    <n v="1"/>
    <x v="2"/>
    <x v="2"/>
    <n v="53"/>
    <x v="0"/>
    <s v="Yes"/>
    <x v="1"/>
  </r>
  <r>
    <n v="27279"/>
    <s v="S"/>
    <x v="1"/>
    <s v="F"/>
    <x v="0"/>
    <n v="70000"/>
    <n v="2"/>
    <x v="0"/>
    <s v="Skilled Manual"/>
    <x v="0"/>
    <n v="0"/>
    <x v="1"/>
    <x v="2"/>
    <n v="38"/>
    <x v="0"/>
    <s v="Yes"/>
    <x v="1"/>
  </r>
  <r>
    <n v="18322"/>
    <s v="S"/>
    <x v="1"/>
    <s v="M"/>
    <x v="1"/>
    <n v="30000"/>
    <n v="0"/>
    <x v="3"/>
    <s v="Clerical"/>
    <x v="1"/>
    <n v="2"/>
    <x v="0"/>
    <x v="2"/>
    <n v="26"/>
    <x v="2"/>
    <s v="No"/>
    <x v="0"/>
  </r>
  <r>
    <n v="15879"/>
    <s v="M"/>
    <x v="0"/>
    <s v="M"/>
    <x v="1"/>
    <n v="70000"/>
    <n v="5"/>
    <x v="0"/>
    <s v="Management"/>
    <x v="0"/>
    <n v="2"/>
    <x v="1"/>
    <x v="2"/>
    <n v="61"/>
    <x v="1"/>
    <s v="No"/>
    <x v="0"/>
  </r>
  <r>
    <n v="28278"/>
    <s v="M"/>
    <x v="0"/>
    <s v="M"/>
    <x v="1"/>
    <n v="50000"/>
    <n v="2"/>
    <x v="4"/>
    <s v="Management"/>
    <x v="0"/>
    <n v="2"/>
    <x v="2"/>
    <x v="2"/>
    <n v="71"/>
    <x v="1"/>
    <s v="No"/>
    <x v="0"/>
  </r>
  <r>
    <n v="24416"/>
    <s v="M"/>
    <x v="0"/>
    <s v="M"/>
    <x v="1"/>
    <n v="90000"/>
    <n v="4"/>
    <x v="2"/>
    <s v="Professional"/>
    <x v="0"/>
    <n v="2"/>
    <x v="3"/>
    <x v="2"/>
    <n v="45"/>
    <x v="0"/>
    <s v="No"/>
    <x v="0"/>
  </r>
  <r>
    <n v="28066"/>
    <s v="M"/>
    <x v="0"/>
    <s v="M"/>
    <x v="1"/>
    <n v="80000"/>
    <n v="2"/>
    <x v="4"/>
    <s v="Professional"/>
    <x v="0"/>
    <n v="0"/>
    <x v="0"/>
    <x v="2"/>
    <n v="37"/>
    <x v="0"/>
    <s v="Yes"/>
    <x v="1"/>
  </r>
  <r>
    <n v="11275"/>
    <s v="M"/>
    <x v="0"/>
    <s v="F"/>
    <x v="0"/>
    <n v="80000"/>
    <n v="4"/>
    <x v="4"/>
    <s v="Management"/>
    <x v="0"/>
    <n v="2"/>
    <x v="0"/>
    <x v="2"/>
    <n v="72"/>
    <x v="1"/>
    <s v="Yes"/>
    <x v="1"/>
  </r>
  <r>
    <n v="14872"/>
    <s v="M"/>
    <x v="0"/>
    <s v="M"/>
    <x v="1"/>
    <n v="30000"/>
    <n v="0"/>
    <x v="4"/>
    <s v="Skilled Manual"/>
    <x v="0"/>
    <n v="0"/>
    <x v="0"/>
    <x v="2"/>
    <n v="32"/>
    <x v="0"/>
    <s v="No"/>
    <x v="0"/>
  </r>
  <r>
    <n v="16151"/>
    <s v="M"/>
    <x v="0"/>
    <s v="F"/>
    <x v="0"/>
    <n v="60000"/>
    <n v="1"/>
    <x v="0"/>
    <s v="Professional"/>
    <x v="0"/>
    <n v="1"/>
    <x v="1"/>
    <x v="2"/>
    <n v="48"/>
    <x v="0"/>
    <s v="Yes"/>
    <x v="1"/>
  </r>
  <r>
    <n v="19731"/>
    <s v="M"/>
    <x v="0"/>
    <s v="M"/>
    <x v="1"/>
    <n v="80000"/>
    <n v="4"/>
    <x v="4"/>
    <s v="Management"/>
    <x v="0"/>
    <n v="2"/>
    <x v="2"/>
    <x v="2"/>
    <n v="68"/>
    <x v="1"/>
    <s v="No"/>
    <x v="0"/>
  </r>
  <r>
    <n v="23801"/>
    <s v="M"/>
    <x v="0"/>
    <s v="F"/>
    <x v="0"/>
    <n v="20000"/>
    <n v="2"/>
    <x v="3"/>
    <s v="Clerical"/>
    <x v="0"/>
    <n v="2"/>
    <x v="0"/>
    <x v="2"/>
    <n v="49"/>
    <x v="0"/>
    <s v="No"/>
    <x v="0"/>
  </r>
  <r>
    <n v="11807"/>
    <s v="M"/>
    <x v="0"/>
    <s v="M"/>
    <x v="1"/>
    <n v="70000"/>
    <n v="3"/>
    <x v="4"/>
    <s v="Professional"/>
    <x v="0"/>
    <n v="0"/>
    <x v="1"/>
    <x v="2"/>
    <n v="34"/>
    <x v="0"/>
    <s v="No"/>
    <x v="0"/>
  </r>
  <r>
    <n v="11622"/>
    <s v="M"/>
    <x v="0"/>
    <s v="M"/>
    <x v="1"/>
    <n v="50000"/>
    <n v="0"/>
    <x v="4"/>
    <s v="Skilled Manual"/>
    <x v="0"/>
    <n v="0"/>
    <x v="0"/>
    <x v="2"/>
    <n v="32"/>
    <x v="0"/>
    <s v="No"/>
    <x v="0"/>
  </r>
  <r>
    <n v="26597"/>
    <s v="S"/>
    <x v="1"/>
    <s v="F"/>
    <x v="0"/>
    <n v="60000"/>
    <n v="4"/>
    <x v="0"/>
    <s v="Skilled Manual"/>
    <x v="1"/>
    <n v="2"/>
    <x v="0"/>
    <x v="2"/>
    <n v="42"/>
    <x v="0"/>
    <s v="No"/>
    <x v="0"/>
  </r>
  <r>
    <n v="27074"/>
    <s v="M"/>
    <x v="0"/>
    <s v="F"/>
    <x v="0"/>
    <n v="70000"/>
    <n v="1"/>
    <x v="4"/>
    <s v="Skilled Manual"/>
    <x v="0"/>
    <n v="0"/>
    <x v="0"/>
    <x v="2"/>
    <n v="35"/>
    <x v="0"/>
    <s v="Yes"/>
    <x v="1"/>
  </r>
  <r>
    <n v="19228"/>
    <s v="M"/>
    <x v="0"/>
    <s v="F"/>
    <x v="0"/>
    <n v="40000"/>
    <n v="2"/>
    <x v="1"/>
    <s v="Clerical"/>
    <x v="0"/>
    <n v="1"/>
    <x v="0"/>
    <x v="2"/>
    <n v="48"/>
    <x v="0"/>
    <s v="No"/>
    <x v="0"/>
  </r>
  <r>
    <n v="13415"/>
    <s v="S"/>
    <x v="1"/>
    <s v="M"/>
    <x v="1"/>
    <n v="100000"/>
    <n v="1"/>
    <x v="4"/>
    <s v="Management"/>
    <x v="0"/>
    <n v="3"/>
    <x v="1"/>
    <x v="2"/>
    <n v="73"/>
    <x v="1"/>
    <s v="Yes"/>
    <x v="1"/>
  </r>
  <r>
    <n v="17000"/>
    <s v="S"/>
    <x v="1"/>
    <s v="F"/>
    <x v="0"/>
    <n v="70000"/>
    <n v="4"/>
    <x v="0"/>
    <s v="Skilled Manual"/>
    <x v="0"/>
    <n v="2"/>
    <x v="1"/>
    <x v="2"/>
    <n v="43"/>
    <x v="0"/>
    <s v="Yes"/>
    <x v="1"/>
  </r>
  <r>
    <n v="14569"/>
    <s v="M"/>
    <x v="0"/>
    <s v="M"/>
    <x v="1"/>
    <n v="60000"/>
    <n v="1"/>
    <x v="4"/>
    <s v="Professional"/>
    <x v="0"/>
    <n v="0"/>
    <x v="0"/>
    <x v="2"/>
    <n v="35"/>
    <x v="0"/>
    <s v="No"/>
    <x v="0"/>
  </r>
  <r>
    <n v="13873"/>
    <s v="M"/>
    <x v="0"/>
    <s v="M"/>
    <x v="1"/>
    <n v="70000"/>
    <n v="3"/>
    <x v="4"/>
    <s v="Professional"/>
    <x v="0"/>
    <n v="0"/>
    <x v="0"/>
    <x v="2"/>
    <n v="35"/>
    <x v="0"/>
    <s v="Yes"/>
    <x v="1"/>
  </r>
  <r>
    <n v="20401"/>
    <s v="M"/>
    <x v="0"/>
    <s v="F"/>
    <x v="0"/>
    <n v="50000"/>
    <n v="4"/>
    <x v="0"/>
    <s v="Management"/>
    <x v="0"/>
    <n v="2"/>
    <x v="3"/>
    <x v="2"/>
    <n v="64"/>
    <x v="1"/>
    <s v="Yes"/>
    <x v="1"/>
  </r>
  <r>
    <n v="21583"/>
    <s v="M"/>
    <x v="0"/>
    <s v="F"/>
    <x v="0"/>
    <n v="50000"/>
    <n v="1"/>
    <x v="0"/>
    <s v="Skilled Manual"/>
    <x v="0"/>
    <n v="0"/>
    <x v="0"/>
    <x v="2"/>
    <n v="34"/>
    <x v="0"/>
    <s v="Yes"/>
    <x v="1"/>
  </r>
  <r>
    <n v="12029"/>
    <s v="M"/>
    <x v="0"/>
    <s v="M"/>
    <x v="1"/>
    <n v="30000"/>
    <n v="0"/>
    <x v="3"/>
    <s v="Clerical"/>
    <x v="1"/>
    <n v="2"/>
    <x v="0"/>
    <x v="2"/>
    <n v="28"/>
    <x v="2"/>
    <s v="No"/>
    <x v="0"/>
  </r>
  <r>
    <n v="18066"/>
    <s v="S"/>
    <x v="1"/>
    <s v="M"/>
    <x v="1"/>
    <n v="70000"/>
    <n v="5"/>
    <x v="0"/>
    <s v="Management"/>
    <x v="0"/>
    <n v="3"/>
    <x v="4"/>
    <x v="2"/>
    <n v="60"/>
    <x v="1"/>
    <s v="Yes"/>
    <x v="1"/>
  </r>
  <r>
    <n v="28192"/>
    <s v="M"/>
    <x v="0"/>
    <s v="F"/>
    <x v="0"/>
    <n v="70000"/>
    <n v="5"/>
    <x v="4"/>
    <s v="Professional"/>
    <x v="0"/>
    <n v="3"/>
    <x v="4"/>
    <x v="2"/>
    <n v="46"/>
    <x v="0"/>
    <s v="No"/>
    <x v="0"/>
  </r>
  <r>
    <n v="16122"/>
    <s v="M"/>
    <x v="0"/>
    <s v="M"/>
    <x v="1"/>
    <n v="40000"/>
    <n v="4"/>
    <x v="2"/>
    <s v="Skilled Manual"/>
    <x v="0"/>
    <n v="2"/>
    <x v="0"/>
    <x v="2"/>
    <n v="44"/>
    <x v="0"/>
    <s v="Yes"/>
    <x v="1"/>
  </r>
  <r>
    <n v="18607"/>
    <s v="S"/>
    <x v="1"/>
    <s v="F"/>
    <x v="0"/>
    <n v="60000"/>
    <n v="4"/>
    <x v="0"/>
    <s v="Skilled Manual"/>
    <x v="0"/>
    <n v="2"/>
    <x v="1"/>
    <x v="2"/>
    <n v="42"/>
    <x v="0"/>
    <s v="Yes"/>
    <x v="1"/>
  </r>
  <r>
    <n v="28858"/>
    <s v="S"/>
    <x v="1"/>
    <s v="M"/>
    <x v="1"/>
    <n v="80000"/>
    <n v="3"/>
    <x v="0"/>
    <s v="Skilled Manual"/>
    <x v="0"/>
    <n v="0"/>
    <x v="1"/>
    <x v="2"/>
    <n v="40"/>
    <x v="0"/>
    <s v="No"/>
    <x v="0"/>
  </r>
  <r>
    <n v="14432"/>
    <s v="S"/>
    <x v="1"/>
    <s v="M"/>
    <x v="1"/>
    <n v="90000"/>
    <n v="4"/>
    <x v="4"/>
    <s v="Management"/>
    <x v="0"/>
    <n v="1"/>
    <x v="2"/>
    <x v="2"/>
    <n v="73"/>
    <x v="1"/>
    <s v="No"/>
    <x v="0"/>
  </r>
  <r>
    <n v="26305"/>
    <s v="S"/>
    <x v="1"/>
    <s v="F"/>
    <x v="0"/>
    <n v="60000"/>
    <n v="2"/>
    <x v="0"/>
    <s v="Skilled Manual"/>
    <x v="1"/>
    <n v="0"/>
    <x v="0"/>
    <x v="2"/>
    <n v="36"/>
    <x v="0"/>
    <s v="Yes"/>
    <x v="1"/>
  </r>
  <r>
    <n v="22050"/>
    <s v="S"/>
    <x v="1"/>
    <s v="M"/>
    <x v="1"/>
    <n v="90000"/>
    <n v="4"/>
    <x v="0"/>
    <s v="Management"/>
    <x v="0"/>
    <n v="1"/>
    <x v="3"/>
    <x v="2"/>
    <n v="38"/>
    <x v="0"/>
    <s v="Yes"/>
    <x v="1"/>
  </r>
  <r>
    <n v="25394"/>
    <s v="M"/>
    <x v="0"/>
    <s v="M"/>
    <x v="1"/>
    <n v="60000"/>
    <n v="1"/>
    <x v="4"/>
    <s v="Professional"/>
    <x v="0"/>
    <n v="0"/>
    <x v="1"/>
    <x v="2"/>
    <n v="34"/>
    <x v="0"/>
    <s v="Yes"/>
    <x v="1"/>
  </r>
  <r>
    <n v="19747"/>
    <s v="M"/>
    <x v="0"/>
    <s v="M"/>
    <x v="1"/>
    <n v="50000"/>
    <n v="4"/>
    <x v="0"/>
    <s v="Management"/>
    <x v="0"/>
    <n v="2"/>
    <x v="4"/>
    <x v="2"/>
    <n v="63"/>
    <x v="1"/>
    <s v="No"/>
    <x v="0"/>
  </r>
  <r>
    <n v="23195"/>
    <s v="S"/>
    <x v="1"/>
    <s v="M"/>
    <x v="1"/>
    <n v="50000"/>
    <n v="3"/>
    <x v="0"/>
    <s v="Skilled Manual"/>
    <x v="0"/>
    <n v="2"/>
    <x v="1"/>
    <x v="2"/>
    <n v="41"/>
    <x v="0"/>
    <s v="Yes"/>
    <x v="1"/>
  </r>
  <r>
    <n v="21695"/>
    <s v="M"/>
    <x v="0"/>
    <s v="M"/>
    <x v="1"/>
    <n v="60000"/>
    <n v="0"/>
    <x v="4"/>
    <s v="Skilled Manual"/>
    <x v="0"/>
    <n v="0"/>
    <x v="3"/>
    <x v="2"/>
    <n v="39"/>
    <x v="0"/>
    <s v="Yes"/>
    <x v="1"/>
  </r>
  <r>
    <n v="13934"/>
    <s v="M"/>
    <x v="0"/>
    <s v="M"/>
    <x v="1"/>
    <n v="40000"/>
    <n v="4"/>
    <x v="2"/>
    <s v="Skilled Manual"/>
    <x v="0"/>
    <n v="2"/>
    <x v="1"/>
    <x v="2"/>
    <n v="46"/>
    <x v="0"/>
    <s v="No"/>
    <x v="0"/>
  </r>
  <r>
    <n v="13337"/>
    <s v="M"/>
    <x v="0"/>
    <s v="F"/>
    <x v="0"/>
    <n v="80000"/>
    <n v="5"/>
    <x v="0"/>
    <s v="Management"/>
    <x v="0"/>
    <n v="2"/>
    <x v="2"/>
    <x v="2"/>
    <n v="64"/>
    <x v="1"/>
    <s v="No"/>
    <x v="0"/>
  </r>
  <r>
    <n v="27190"/>
    <s v="M"/>
    <x v="0"/>
    <s v="F"/>
    <x v="0"/>
    <n v="40000"/>
    <n v="3"/>
    <x v="1"/>
    <s v="Clerical"/>
    <x v="0"/>
    <n v="1"/>
    <x v="3"/>
    <x v="2"/>
    <n v="32"/>
    <x v="0"/>
    <s v="No"/>
    <x v="0"/>
  </r>
  <r>
    <n v="28657"/>
    <s v="S"/>
    <x v="1"/>
    <s v="M"/>
    <x v="1"/>
    <n v="60000"/>
    <n v="2"/>
    <x v="0"/>
    <s v="Skilled Manual"/>
    <x v="0"/>
    <n v="0"/>
    <x v="1"/>
    <x v="2"/>
    <n v="36"/>
    <x v="0"/>
    <s v="Yes"/>
    <x v="1"/>
  </r>
  <r>
    <n v="21713"/>
    <s v="S"/>
    <x v="1"/>
    <s v="M"/>
    <x v="1"/>
    <n v="80000"/>
    <n v="5"/>
    <x v="4"/>
    <s v="Skilled Manual"/>
    <x v="1"/>
    <n v="0"/>
    <x v="0"/>
    <x v="2"/>
    <n v="47"/>
    <x v="0"/>
    <s v="No"/>
    <x v="0"/>
  </r>
  <r>
    <n v="21752"/>
    <s v="M"/>
    <x v="0"/>
    <s v="M"/>
    <x v="1"/>
    <n v="60000"/>
    <n v="3"/>
    <x v="4"/>
    <s v="Management"/>
    <x v="0"/>
    <n v="2"/>
    <x v="4"/>
    <x v="2"/>
    <n v="64"/>
    <x v="1"/>
    <s v="No"/>
    <x v="0"/>
  </r>
  <r>
    <n v="27273"/>
    <s v="S"/>
    <x v="1"/>
    <s v="M"/>
    <x v="1"/>
    <n v="70000"/>
    <n v="3"/>
    <x v="4"/>
    <s v="Professional"/>
    <x v="1"/>
    <n v="0"/>
    <x v="0"/>
    <x v="2"/>
    <n v="35"/>
    <x v="0"/>
    <s v="Yes"/>
    <x v="1"/>
  </r>
  <r>
    <n v="22719"/>
    <s v="S"/>
    <x v="1"/>
    <s v="M"/>
    <x v="1"/>
    <n v="110000"/>
    <n v="3"/>
    <x v="0"/>
    <s v="Management"/>
    <x v="0"/>
    <n v="4"/>
    <x v="1"/>
    <x v="2"/>
    <n v="40"/>
    <x v="0"/>
    <s v="Yes"/>
    <x v="1"/>
  </r>
  <r>
    <n v="22042"/>
    <s v="M"/>
    <x v="0"/>
    <s v="F"/>
    <x v="0"/>
    <n v="70000"/>
    <n v="0"/>
    <x v="1"/>
    <s v="Skilled Manual"/>
    <x v="0"/>
    <n v="2"/>
    <x v="2"/>
    <x v="2"/>
    <n v="34"/>
    <x v="0"/>
    <s v="Yes"/>
    <x v="1"/>
  </r>
  <r>
    <n v="21451"/>
    <s v="M"/>
    <x v="0"/>
    <s v="F"/>
    <x v="0"/>
    <n v="40000"/>
    <n v="4"/>
    <x v="2"/>
    <s v="Professional"/>
    <x v="0"/>
    <n v="2"/>
    <x v="4"/>
    <x v="2"/>
    <n v="61"/>
    <x v="1"/>
    <s v="No"/>
    <x v="0"/>
  </r>
  <r>
    <n v="20754"/>
    <s v="M"/>
    <x v="0"/>
    <s v="M"/>
    <x v="1"/>
    <n v="30000"/>
    <n v="2"/>
    <x v="2"/>
    <s v="Skilled Manual"/>
    <x v="0"/>
    <n v="2"/>
    <x v="3"/>
    <x v="2"/>
    <n v="51"/>
    <x v="0"/>
    <s v="No"/>
    <x v="0"/>
  </r>
  <r>
    <n v="12153"/>
    <s v="S"/>
    <x v="1"/>
    <s v="F"/>
    <x v="0"/>
    <n v="70000"/>
    <n v="3"/>
    <x v="1"/>
    <s v="Professional"/>
    <x v="0"/>
    <n v="1"/>
    <x v="2"/>
    <x v="2"/>
    <n v="49"/>
    <x v="0"/>
    <s v="Yes"/>
    <x v="1"/>
  </r>
  <r>
    <n v="16895"/>
    <s v="M"/>
    <x v="0"/>
    <s v="F"/>
    <x v="0"/>
    <n v="40000"/>
    <n v="3"/>
    <x v="1"/>
    <s v="Professional"/>
    <x v="1"/>
    <n v="2"/>
    <x v="3"/>
    <x v="2"/>
    <n v="54"/>
    <x v="0"/>
    <s v="Yes"/>
    <x v="1"/>
  </r>
  <r>
    <n v="26728"/>
    <s v="S"/>
    <x v="1"/>
    <s v="M"/>
    <x v="1"/>
    <n v="70000"/>
    <n v="3"/>
    <x v="4"/>
    <s v="Management"/>
    <x v="1"/>
    <n v="2"/>
    <x v="3"/>
    <x v="2"/>
    <n v="53"/>
    <x v="0"/>
    <s v="Yes"/>
    <x v="1"/>
  </r>
  <r>
    <n v="11090"/>
    <s v="S"/>
    <x v="1"/>
    <s v="M"/>
    <x v="1"/>
    <n v="90000"/>
    <n v="2"/>
    <x v="1"/>
    <s v="Professional"/>
    <x v="0"/>
    <n v="1"/>
    <x v="1"/>
    <x v="2"/>
    <n v="48"/>
    <x v="0"/>
    <s v="Yes"/>
    <x v="1"/>
  </r>
  <r>
    <n v="15862"/>
    <s v="S"/>
    <x v="1"/>
    <s v="F"/>
    <x v="0"/>
    <n v="50000"/>
    <n v="0"/>
    <x v="4"/>
    <s v="Skilled Manual"/>
    <x v="0"/>
    <n v="0"/>
    <x v="3"/>
    <x v="2"/>
    <n v="33"/>
    <x v="0"/>
    <s v="Yes"/>
    <x v="1"/>
  </r>
  <r>
    <n v="26495"/>
    <s v="S"/>
    <x v="1"/>
    <s v="F"/>
    <x v="0"/>
    <n v="40000"/>
    <n v="2"/>
    <x v="2"/>
    <s v="Professional"/>
    <x v="0"/>
    <n v="2"/>
    <x v="4"/>
    <x v="2"/>
    <n v="57"/>
    <x v="1"/>
    <s v="No"/>
    <x v="0"/>
  </r>
  <r>
    <n v="11823"/>
    <s v="M"/>
    <x v="0"/>
    <s v="F"/>
    <x v="0"/>
    <n v="70000"/>
    <n v="0"/>
    <x v="4"/>
    <s v="Professional"/>
    <x v="0"/>
    <n v="0"/>
    <x v="1"/>
    <x v="2"/>
    <n v="39"/>
    <x v="0"/>
    <s v="No"/>
    <x v="0"/>
  </r>
  <r>
    <n v="23449"/>
    <s v="M"/>
    <x v="0"/>
    <s v="M"/>
    <x v="1"/>
    <n v="60000"/>
    <n v="2"/>
    <x v="2"/>
    <s v="Professional"/>
    <x v="0"/>
    <n v="2"/>
    <x v="2"/>
    <x v="2"/>
    <n v="48"/>
    <x v="0"/>
    <s v="No"/>
    <x v="0"/>
  </r>
  <r>
    <n v="23459"/>
    <s v="M"/>
    <x v="0"/>
    <s v="M"/>
    <x v="1"/>
    <n v="60000"/>
    <n v="2"/>
    <x v="2"/>
    <s v="Professional"/>
    <x v="0"/>
    <n v="2"/>
    <x v="2"/>
    <x v="2"/>
    <n v="50"/>
    <x v="0"/>
    <s v="No"/>
    <x v="0"/>
  </r>
  <r>
    <n v="19543"/>
    <s v="M"/>
    <x v="0"/>
    <s v="M"/>
    <x v="1"/>
    <n v="70000"/>
    <n v="5"/>
    <x v="4"/>
    <s v="Professional"/>
    <x v="1"/>
    <n v="3"/>
    <x v="4"/>
    <x v="2"/>
    <n v="47"/>
    <x v="0"/>
    <s v="No"/>
    <x v="0"/>
  </r>
  <r>
    <n v="14914"/>
    <s v="M"/>
    <x v="0"/>
    <s v="F"/>
    <x v="0"/>
    <n v="40000"/>
    <n v="1"/>
    <x v="1"/>
    <s v="Clerical"/>
    <x v="0"/>
    <n v="1"/>
    <x v="3"/>
    <x v="2"/>
    <n v="49"/>
    <x v="0"/>
    <s v="Yes"/>
    <x v="1"/>
  </r>
  <r>
    <n v="12033"/>
    <s v="S"/>
    <x v="1"/>
    <s v="F"/>
    <x v="0"/>
    <n v="40000"/>
    <n v="0"/>
    <x v="2"/>
    <s v="Skilled Manual"/>
    <x v="1"/>
    <n v="2"/>
    <x v="0"/>
    <x v="2"/>
    <n v="27"/>
    <x v="2"/>
    <s v="Yes"/>
    <x v="1"/>
  </r>
  <r>
    <n v="11941"/>
    <s v="S"/>
    <x v="1"/>
    <s v="M"/>
    <x v="1"/>
    <n v="60000"/>
    <n v="0"/>
    <x v="1"/>
    <s v="Skilled Manual"/>
    <x v="0"/>
    <n v="0"/>
    <x v="2"/>
    <x v="2"/>
    <n v="29"/>
    <x v="2"/>
    <s v="No"/>
    <x v="0"/>
  </r>
  <r>
    <n v="14389"/>
    <s v="M"/>
    <x v="0"/>
    <s v="M"/>
    <x v="1"/>
    <n v="60000"/>
    <n v="2"/>
    <x v="0"/>
    <s v="Management"/>
    <x v="0"/>
    <n v="0"/>
    <x v="1"/>
    <x v="2"/>
    <n v="59"/>
    <x v="1"/>
    <s v="No"/>
    <x v="0"/>
  </r>
  <r>
    <n v="18050"/>
    <s v="M"/>
    <x v="0"/>
    <s v="F"/>
    <x v="0"/>
    <n v="60000"/>
    <n v="1"/>
    <x v="1"/>
    <s v="Skilled Manual"/>
    <x v="0"/>
    <n v="1"/>
    <x v="0"/>
    <x v="2"/>
    <n v="45"/>
    <x v="0"/>
    <s v="Yes"/>
    <x v="1"/>
  </r>
  <r>
    <n v="19856"/>
    <s v="M"/>
    <x v="0"/>
    <s v="F"/>
    <x v="0"/>
    <n v="60000"/>
    <n v="4"/>
    <x v="0"/>
    <s v="Management"/>
    <x v="0"/>
    <n v="2"/>
    <x v="1"/>
    <x v="2"/>
    <n v="60"/>
    <x v="1"/>
    <s v="No"/>
    <x v="0"/>
  </r>
  <r>
    <n v="11663"/>
    <s v="M"/>
    <x v="0"/>
    <s v="M"/>
    <x v="1"/>
    <n v="70000"/>
    <n v="4"/>
    <x v="4"/>
    <s v="Professional"/>
    <x v="0"/>
    <n v="0"/>
    <x v="0"/>
    <x v="2"/>
    <n v="36"/>
    <x v="0"/>
    <s v="Yes"/>
    <x v="1"/>
  </r>
  <r>
    <n v="27740"/>
    <s v="M"/>
    <x v="0"/>
    <s v="F"/>
    <x v="0"/>
    <n v="40000"/>
    <n v="0"/>
    <x v="2"/>
    <s v="Skilled Manual"/>
    <x v="0"/>
    <n v="2"/>
    <x v="2"/>
    <x v="2"/>
    <n v="27"/>
    <x v="2"/>
    <s v="No"/>
    <x v="0"/>
  </r>
  <r>
    <n v="23455"/>
    <s v="S"/>
    <x v="1"/>
    <s v="M"/>
    <x v="1"/>
    <n v="80000"/>
    <n v="2"/>
    <x v="3"/>
    <s v="Skilled Manual"/>
    <x v="1"/>
    <n v="2"/>
    <x v="3"/>
    <x v="2"/>
    <n v="50"/>
    <x v="0"/>
    <s v="No"/>
    <x v="0"/>
  </r>
  <r>
    <n v="15292"/>
    <s v="S"/>
    <x v="1"/>
    <s v="F"/>
    <x v="0"/>
    <n v="60000"/>
    <n v="1"/>
    <x v="4"/>
    <s v="Skilled Manual"/>
    <x v="0"/>
    <n v="0"/>
    <x v="3"/>
    <x v="2"/>
    <n v="35"/>
    <x v="0"/>
    <s v="No"/>
    <x v="0"/>
  </r>
  <r>
    <n v="21587"/>
    <s v="M"/>
    <x v="0"/>
    <s v="F"/>
    <x v="0"/>
    <n v="60000"/>
    <n v="1"/>
    <x v="4"/>
    <s v="Skilled Manual"/>
    <x v="0"/>
    <n v="0"/>
    <x v="1"/>
    <x v="2"/>
    <n v="34"/>
    <x v="0"/>
    <s v="Yes"/>
    <x v="1"/>
  </r>
  <r>
    <n v="23513"/>
    <s v="M"/>
    <x v="0"/>
    <s v="F"/>
    <x v="0"/>
    <n v="40000"/>
    <n v="3"/>
    <x v="1"/>
    <s v="Professional"/>
    <x v="0"/>
    <n v="2"/>
    <x v="2"/>
    <x v="2"/>
    <n v="54"/>
    <x v="0"/>
    <s v="No"/>
    <x v="0"/>
  </r>
  <r>
    <n v="24322"/>
    <s v="M"/>
    <x v="0"/>
    <s v="F"/>
    <x v="0"/>
    <n v="60000"/>
    <n v="4"/>
    <x v="0"/>
    <s v="Skilled Manual"/>
    <x v="1"/>
    <n v="2"/>
    <x v="0"/>
    <x v="2"/>
    <n v="42"/>
    <x v="0"/>
    <s v="No"/>
    <x v="0"/>
  </r>
  <r>
    <n v="26298"/>
    <s v="M"/>
    <x v="0"/>
    <s v="F"/>
    <x v="0"/>
    <n v="50000"/>
    <n v="1"/>
    <x v="0"/>
    <s v="Skilled Manual"/>
    <x v="0"/>
    <n v="0"/>
    <x v="1"/>
    <x v="2"/>
    <n v="34"/>
    <x v="0"/>
    <s v="Yes"/>
    <x v="1"/>
  </r>
  <r>
    <n v="25419"/>
    <s v="S"/>
    <x v="1"/>
    <s v="M"/>
    <x v="1"/>
    <n v="50000"/>
    <n v="2"/>
    <x v="0"/>
    <s v="Skilled Manual"/>
    <x v="1"/>
    <n v="1"/>
    <x v="0"/>
    <x v="2"/>
    <n v="38"/>
    <x v="0"/>
    <s v="Yes"/>
    <x v="1"/>
  </r>
  <r>
    <n v="13343"/>
    <s v="M"/>
    <x v="0"/>
    <s v="F"/>
    <x v="0"/>
    <n v="90000"/>
    <n v="5"/>
    <x v="0"/>
    <s v="Management"/>
    <x v="0"/>
    <n v="2"/>
    <x v="3"/>
    <x v="2"/>
    <n v="63"/>
    <x v="1"/>
    <s v="Yes"/>
    <x v="1"/>
  </r>
  <r>
    <n v="11303"/>
    <s v="S"/>
    <x v="1"/>
    <s v="F"/>
    <x v="0"/>
    <n v="90000"/>
    <n v="4"/>
    <x v="2"/>
    <s v="Professional"/>
    <x v="1"/>
    <n v="3"/>
    <x v="3"/>
    <x v="2"/>
    <n v="45"/>
    <x v="0"/>
    <s v="Yes"/>
    <x v="1"/>
  </r>
  <r>
    <n v="21693"/>
    <s v="S"/>
    <x v="1"/>
    <s v="F"/>
    <x v="0"/>
    <n v="60000"/>
    <n v="0"/>
    <x v="4"/>
    <s v="Skilled Manual"/>
    <x v="1"/>
    <n v="0"/>
    <x v="0"/>
    <x v="2"/>
    <n v="40"/>
    <x v="0"/>
    <s v="No"/>
    <x v="0"/>
  </r>
  <r>
    <n v="28056"/>
    <s v="M"/>
    <x v="0"/>
    <s v="M"/>
    <x v="1"/>
    <n v="70000"/>
    <n v="2"/>
    <x v="3"/>
    <s v="Skilled Manual"/>
    <x v="0"/>
    <n v="2"/>
    <x v="4"/>
    <x v="2"/>
    <n v="53"/>
    <x v="0"/>
    <s v="No"/>
    <x v="0"/>
  </r>
  <r>
    <n v="11788"/>
    <s v="S"/>
    <x v="1"/>
    <s v="F"/>
    <x v="0"/>
    <n v="70000"/>
    <n v="1"/>
    <x v="4"/>
    <s v="Professional"/>
    <x v="0"/>
    <n v="0"/>
    <x v="1"/>
    <x v="2"/>
    <n v="34"/>
    <x v="0"/>
    <s v="No"/>
    <x v="0"/>
  </r>
  <r>
    <n v="22296"/>
    <s v="M"/>
    <x v="0"/>
    <s v="M"/>
    <x v="1"/>
    <n v="70000"/>
    <n v="0"/>
    <x v="0"/>
    <s v="Professional"/>
    <x v="1"/>
    <n v="1"/>
    <x v="0"/>
    <x v="2"/>
    <n v="38"/>
    <x v="0"/>
    <s v="No"/>
    <x v="0"/>
  </r>
  <r>
    <n v="15319"/>
    <s v="M"/>
    <x v="0"/>
    <s v="F"/>
    <x v="0"/>
    <n v="70000"/>
    <n v="4"/>
    <x v="0"/>
    <s v="Management"/>
    <x v="1"/>
    <n v="1"/>
    <x v="3"/>
    <x v="2"/>
    <n v="59"/>
    <x v="1"/>
    <s v="No"/>
    <x v="0"/>
  </r>
  <r>
    <n v="17654"/>
    <s v="S"/>
    <x v="1"/>
    <s v="F"/>
    <x v="0"/>
    <n v="40000"/>
    <n v="3"/>
    <x v="1"/>
    <s v="Clerical"/>
    <x v="0"/>
    <n v="1"/>
    <x v="3"/>
    <x v="2"/>
    <n v="30"/>
    <x v="2"/>
    <s v="Yes"/>
    <x v="1"/>
  </r>
  <r>
    <n v="14662"/>
    <s v="M"/>
    <x v="0"/>
    <s v="M"/>
    <x v="1"/>
    <n v="60000"/>
    <n v="1"/>
    <x v="0"/>
    <s v="Professional"/>
    <x v="0"/>
    <n v="1"/>
    <x v="0"/>
    <x v="2"/>
    <n v="48"/>
    <x v="0"/>
    <s v="Yes"/>
    <x v="1"/>
  </r>
  <r>
    <n v="17541"/>
    <s v="M"/>
    <x v="0"/>
    <s v="F"/>
    <x v="0"/>
    <n v="40000"/>
    <n v="4"/>
    <x v="2"/>
    <s v="Skilled Manual"/>
    <x v="0"/>
    <n v="2"/>
    <x v="1"/>
    <x v="2"/>
    <n v="43"/>
    <x v="0"/>
    <s v="No"/>
    <x v="0"/>
  </r>
  <r>
    <n v="13886"/>
    <s v="M"/>
    <x v="0"/>
    <s v="F"/>
    <x v="0"/>
    <n v="70000"/>
    <n v="4"/>
    <x v="4"/>
    <s v="Professional"/>
    <x v="0"/>
    <n v="0"/>
    <x v="1"/>
    <x v="2"/>
    <n v="35"/>
    <x v="0"/>
    <s v="Yes"/>
    <x v="1"/>
  </r>
  <r>
    <n v="13073"/>
    <s v="M"/>
    <x v="0"/>
    <s v="F"/>
    <x v="0"/>
    <n v="60000"/>
    <n v="0"/>
    <x v="1"/>
    <s v="Professional"/>
    <x v="0"/>
    <n v="2"/>
    <x v="2"/>
    <x v="2"/>
    <n v="30"/>
    <x v="2"/>
    <s v="No"/>
    <x v="0"/>
  </r>
  <r>
    <n v="21940"/>
    <s v="M"/>
    <x v="0"/>
    <s v="M"/>
    <x v="1"/>
    <n v="90000"/>
    <n v="5"/>
    <x v="4"/>
    <s v="Professional"/>
    <x v="0"/>
    <n v="0"/>
    <x v="0"/>
    <x v="2"/>
    <n v="47"/>
    <x v="0"/>
    <s v="Yes"/>
    <x v="1"/>
  </r>
  <r>
    <n v="20196"/>
    <s v="M"/>
    <x v="0"/>
    <s v="M"/>
    <x v="1"/>
    <n v="60000"/>
    <n v="1"/>
    <x v="1"/>
    <s v="Skilled Manual"/>
    <x v="0"/>
    <n v="1"/>
    <x v="1"/>
    <x v="2"/>
    <n v="45"/>
    <x v="0"/>
    <s v="Yes"/>
    <x v="1"/>
  </r>
  <r>
    <n v="23491"/>
    <s v="S"/>
    <x v="1"/>
    <s v="M"/>
    <x v="1"/>
    <n v="100000"/>
    <n v="0"/>
    <x v="1"/>
    <s v="Professional"/>
    <x v="1"/>
    <n v="4"/>
    <x v="3"/>
    <x v="2"/>
    <n v="45"/>
    <x v="0"/>
    <s v="No"/>
    <x v="0"/>
  </r>
  <r>
    <n v="16651"/>
    <s v="M"/>
    <x v="0"/>
    <s v="F"/>
    <x v="0"/>
    <n v="120000"/>
    <n v="2"/>
    <x v="0"/>
    <s v="Management"/>
    <x v="0"/>
    <n v="3"/>
    <x v="2"/>
    <x v="2"/>
    <n v="62"/>
    <x v="1"/>
    <s v="No"/>
    <x v="0"/>
  </r>
  <r>
    <n v="16813"/>
    <s v="M"/>
    <x v="0"/>
    <s v="M"/>
    <x v="1"/>
    <n v="60000"/>
    <n v="2"/>
    <x v="1"/>
    <s v="Professional"/>
    <x v="0"/>
    <n v="2"/>
    <x v="4"/>
    <x v="2"/>
    <n v="55"/>
    <x v="1"/>
    <s v="No"/>
    <x v="0"/>
  </r>
  <r>
    <n v="16007"/>
    <s v="M"/>
    <x v="0"/>
    <s v="F"/>
    <x v="0"/>
    <n v="90000"/>
    <n v="5"/>
    <x v="0"/>
    <s v="Management"/>
    <x v="0"/>
    <n v="2"/>
    <x v="3"/>
    <x v="2"/>
    <n v="66"/>
    <x v="1"/>
    <s v="Yes"/>
    <x v="1"/>
  </r>
  <r>
    <n v="27434"/>
    <s v="S"/>
    <x v="1"/>
    <s v="M"/>
    <x v="1"/>
    <n v="70000"/>
    <n v="4"/>
    <x v="1"/>
    <s v="Professional"/>
    <x v="0"/>
    <n v="1"/>
    <x v="4"/>
    <x v="2"/>
    <n v="56"/>
    <x v="1"/>
    <s v="No"/>
    <x v="0"/>
  </r>
  <r>
    <n v="27756"/>
    <s v="S"/>
    <x v="1"/>
    <s v="F"/>
    <x v="0"/>
    <n v="50000"/>
    <n v="3"/>
    <x v="0"/>
    <s v="Skilled Manual"/>
    <x v="1"/>
    <n v="1"/>
    <x v="0"/>
    <x v="2"/>
    <n v="40"/>
    <x v="0"/>
    <s v="No"/>
    <x v="0"/>
  </r>
  <r>
    <n v="23818"/>
    <s v="M"/>
    <x v="0"/>
    <s v="F"/>
    <x v="0"/>
    <n v="50000"/>
    <n v="0"/>
    <x v="4"/>
    <s v="Skilled Manual"/>
    <x v="0"/>
    <n v="0"/>
    <x v="3"/>
    <x v="2"/>
    <n v="33"/>
    <x v="0"/>
    <s v="Yes"/>
    <x v="1"/>
  </r>
  <r>
    <n v="19012"/>
    <s v="M"/>
    <x v="0"/>
    <s v="M"/>
    <x v="1"/>
    <n v="80000"/>
    <n v="3"/>
    <x v="0"/>
    <s v="Management"/>
    <x v="0"/>
    <n v="1"/>
    <x v="3"/>
    <x v="2"/>
    <n v="56"/>
    <x v="1"/>
    <s v="No"/>
    <x v="0"/>
  </r>
  <r>
    <n v="18329"/>
    <s v="S"/>
    <x v="1"/>
    <s v="M"/>
    <x v="1"/>
    <n v="30000"/>
    <n v="0"/>
    <x v="3"/>
    <s v="Clerical"/>
    <x v="1"/>
    <n v="2"/>
    <x v="2"/>
    <x v="2"/>
    <n v="27"/>
    <x v="2"/>
    <s v="No"/>
    <x v="0"/>
  </r>
  <r>
    <n v="29037"/>
    <s v="M"/>
    <x v="0"/>
    <s v="M"/>
    <x v="1"/>
    <n v="60000"/>
    <n v="0"/>
    <x v="4"/>
    <s v="Professional"/>
    <x v="1"/>
    <n v="0"/>
    <x v="0"/>
    <x v="2"/>
    <n v="39"/>
    <x v="0"/>
    <s v="No"/>
    <x v="0"/>
  </r>
  <r>
    <n v="26576"/>
    <s v="M"/>
    <x v="0"/>
    <s v="F"/>
    <x v="0"/>
    <n v="60000"/>
    <n v="0"/>
    <x v="1"/>
    <s v="Skilled Manual"/>
    <x v="0"/>
    <n v="2"/>
    <x v="2"/>
    <x v="2"/>
    <n v="31"/>
    <x v="0"/>
    <s v="No"/>
    <x v="0"/>
  </r>
  <r>
    <n v="12192"/>
    <s v="S"/>
    <x v="1"/>
    <s v="F"/>
    <x v="0"/>
    <n v="60000"/>
    <n v="2"/>
    <x v="3"/>
    <s v="Skilled Manual"/>
    <x v="1"/>
    <n v="2"/>
    <x v="3"/>
    <x v="2"/>
    <n v="51"/>
    <x v="0"/>
    <s v="No"/>
    <x v="0"/>
  </r>
  <r>
    <n v="14887"/>
    <s v="M"/>
    <x v="0"/>
    <s v="F"/>
    <x v="0"/>
    <n v="30000"/>
    <n v="1"/>
    <x v="2"/>
    <s v="Clerical"/>
    <x v="0"/>
    <n v="1"/>
    <x v="2"/>
    <x v="2"/>
    <n v="52"/>
    <x v="0"/>
    <s v="No"/>
    <x v="0"/>
  </r>
  <r>
    <n v="11734"/>
    <s v="M"/>
    <x v="0"/>
    <s v="M"/>
    <x v="1"/>
    <n v="60000"/>
    <n v="1"/>
    <x v="1"/>
    <s v="Skilled Manual"/>
    <x v="1"/>
    <n v="1"/>
    <x v="0"/>
    <x v="2"/>
    <n v="47"/>
    <x v="0"/>
    <s v="No"/>
    <x v="0"/>
  </r>
  <r>
    <n v="17462"/>
    <s v="M"/>
    <x v="0"/>
    <s v="M"/>
    <x v="1"/>
    <n v="70000"/>
    <n v="3"/>
    <x v="4"/>
    <s v="Management"/>
    <x v="0"/>
    <n v="2"/>
    <x v="2"/>
    <x v="2"/>
    <n v="53"/>
    <x v="0"/>
    <s v="Yes"/>
    <x v="1"/>
  </r>
  <r>
    <n v="20659"/>
    <s v="M"/>
    <x v="0"/>
    <s v="M"/>
    <x v="1"/>
    <n v="70000"/>
    <n v="3"/>
    <x v="4"/>
    <s v="Professional"/>
    <x v="0"/>
    <n v="0"/>
    <x v="0"/>
    <x v="2"/>
    <n v="35"/>
    <x v="0"/>
    <s v="Yes"/>
    <x v="1"/>
  </r>
  <r>
    <n v="28004"/>
    <s v="M"/>
    <x v="0"/>
    <s v="F"/>
    <x v="0"/>
    <n v="60000"/>
    <n v="3"/>
    <x v="0"/>
    <s v="Management"/>
    <x v="0"/>
    <n v="2"/>
    <x v="4"/>
    <x v="2"/>
    <n v="66"/>
    <x v="1"/>
    <s v="No"/>
    <x v="0"/>
  </r>
  <r>
    <n v="19741"/>
    <s v="S"/>
    <x v="1"/>
    <s v="F"/>
    <x v="0"/>
    <n v="80000"/>
    <n v="4"/>
    <x v="4"/>
    <s v="Management"/>
    <x v="0"/>
    <n v="2"/>
    <x v="2"/>
    <x v="2"/>
    <n v="65"/>
    <x v="1"/>
    <s v="No"/>
    <x v="0"/>
  </r>
  <r>
    <n v="17450"/>
    <s v="M"/>
    <x v="0"/>
    <s v="M"/>
    <x v="1"/>
    <n v="80000"/>
    <n v="5"/>
    <x v="1"/>
    <s v="Professional"/>
    <x v="0"/>
    <n v="3"/>
    <x v="2"/>
    <x v="2"/>
    <n v="45"/>
    <x v="0"/>
    <s v="No"/>
    <x v="0"/>
  </r>
  <r>
    <n v="17337"/>
    <s v="S"/>
    <x v="1"/>
    <s v="M"/>
    <x v="1"/>
    <n v="40000"/>
    <n v="0"/>
    <x v="2"/>
    <s v="Skilled Manual"/>
    <x v="0"/>
    <n v="1"/>
    <x v="2"/>
    <x v="2"/>
    <n v="31"/>
    <x v="0"/>
    <s v="No"/>
    <x v="0"/>
  </r>
  <r>
    <n v="18594"/>
    <s v="S"/>
    <x v="1"/>
    <s v="F"/>
    <x v="0"/>
    <n v="80000"/>
    <n v="3"/>
    <x v="0"/>
    <s v="Skilled Manual"/>
    <x v="0"/>
    <n v="3"/>
    <x v="4"/>
    <x v="2"/>
    <n v="40"/>
    <x v="0"/>
    <s v="Yes"/>
    <x v="1"/>
  </r>
  <r>
    <n v="15982"/>
    <s v="M"/>
    <x v="0"/>
    <s v="M"/>
    <x v="1"/>
    <n v="110000"/>
    <n v="5"/>
    <x v="1"/>
    <s v="Professional"/>
    <x v="0"/>
    <n v="4"/>
    <x v="1"/>
    <x v="2"/>
    <n v="46"/>
    <x v="0"/>
    <s v="No"/>
    <x v="0"/>
  </r>
  <r>
    <n v="28625"/>
    <s v="S"/>
    <x v="1"/>
    <s v="M"/>
    <x v="1"/>
    <n v="40000"/>
    <n v="2"/>
    <x v="1"/>
    <s v="Clerical"/>
    <x v="1"/>
    <n v="1"/>
    <x v="3"/>
    <x v="2"/>
    <n v="47"/>
    <x v="0"/>
    <s v="Yes"/>
    <x v="1"/>
  </r>
  <r>
    <n v="11269"/>
    <s v="M"/>
    <x v="0"/>
    <s v="M"/>
    <x v="1"/>
    <n v="130000"/>
    <n v="2"/>
    <x v="4"/>
    <s v="Management"/>
    <x v="0"/>
    <n v="2"/>
    <x v="0"/>
    <x v="2"/>
    <n v="41"/>
    <x v="0"/>
    <s v="No"/>
    <x v="0"/>
  </r>
  <r>
    <n v="25148"/>
    <s v="M"/>
    <x v="0"/>
    <s v="M"/>
    <x v="1"/>
    <n v="60000"/>
    <n v="2"/>
    <x v="2"/>
    <s v="Professional"/>
    <x v="1"/>
    <n v="2"/>
    <x v="3"/>
    <x v="2"/>
    <n v="48"/>
    <x v="0"/>
    <s v="Yes"/>
    <x v="1"/>
  </r>
  <r>
    <n v="13920"/>
    <s v="S"/>
    <x v="1"/>
    <s v="F"/>
    <x v="0"/>
    <n v="50000"/>
    <n v="4"/>
    <x v="0"/>
    <s v="Skilled Manual"/>
    <x v="0"/>
    <n v="2"/>
    <x v="0"/>
    <x v="2"/>
    <n v="42"/>
    <x v="0"/>
    <s v="No"/>
    <x v="0"/>
  </r>
  <r>
    <n v="23704"/>
    <s v="S"/>
    <x v="1"/>
    <s v="M"/>
    <x v="1"/>
    <n v="40000"/>
    <n v="5"/>
    <x v="2"/>
    <s v="Professional"/>
    <x v="0"/>
    <n v="4"/>
    <x v="4"/>
    <x v="2"/>
    <n v="60"/>
    <x v="1"/>
    <s v="Yes"/>
    <x v="1"/>
  </r>
  <r>
    <n v="28972"/>
    <s v="S"/>
    <x v="1"/>
    <s v="F"/>
    <x v="0"/>
    <n v="60000"/>
    <n v="3"/>
    <x v="4"/>
    <s v="Management"/>
    <x v="0"/>
    <n v="2"/>
    <x v="4"/>
    <x v="2"/>
    <n v="66"/>
    <x v="1"/>
    <s v="No"/>
    <x v="0"/>
  </r>
  <r>
    <n v="22730"/>
    <s v="M"/>
    <x v="0"/>
    <s v="M"/>
    <x v="1"/>
    <n v="70000"/>
    <n v="5"/>
    <x v="0"/>
    <s v="Management"/>
    <x v="0"/>
    <n v="2"/>
    <x v="4"/>
    <x v="2"/>
    <n v="63"/>
    <x v="1"/>
    <s v="No"/>
    <x v="0"/>
  </r>
  <r>
    <n v="29134"/>
    <s v="M"/>
    <x v="0"/>
    <s v="M"/>
    <x v="1"/>
    <n v="60000"/>
    <n v="4"/>
    <x v="0"/>
    <s v="Skilled Manual"/>
    <x v="1"/>
    <n v="3"/>
    <x v="4"/>
    <x v="2"/>
    <n v="42"/>
    <x v="0"/>
    <s v="No"/>
    <x v="0"/>
  </r>
  <r>
    <n v="14332"/>
    <s v="S"/>
    <x v="1"/>
    <s v="F"/>
    <x v="0"/>
    <n v="30000"/>
    <n v="0"/>
    <x v="2"/>
    <s v="Skilled Manual"/>
    <x v="1"/>
    <n v="2"/>
    <x v="2"/>
    <x v="2"/>
    <n v="26"/>
    <x v="2"/>
    <s v="No"/>
    <x v="0"/>
  </r>
  <r>
    <n v="19117"/>
    <s v="S"/>
    <x v="1"/>
    <s v="F"/>
    <x v="0"/>
    <n v="60000"/>
    <n v="1"/>
    <x v="4"/>
    <s v="Professional"/>
    <x v="0"/>
    <n v="0"/>
    <x v="1"/>
    <x v="2"/>
    <n v="36"/>
    <x v="0"/>
    <s v="Yes"/>
    <x v="1"/>
  </r>
  <r>
    <n v="22864"/>
    <s v="M"/>
    <x v="0"/>
    <s v="M"/>
    <x v="1"/>
    <n v="90000"/>
    <n v="2"/>
    <x v="1"/>
    <s v="Professional"/>
    <x v="1"/>
    <n v="0"/>
    <x v="2"/>
    <x v="2"/>
    <n v="49"/>
    <x v="0"/>
    <s v="Yes"/>
    <x v="1"/>
  </r>
  <r>
    <n v="11292"/>
    <s v="S"/>
    <x v="1"/>
    <s v="M"/>
    <x v="1"/>
    <n v="150000"/>
    <n v="1"/>
    <x v="1"/>
    <s v="Professional"/>
    <x v="1"/>
    <n v="3"/>
    <x v="0"/>
    <x v="2"/>
    <n v="44"/>
    <x v="0"/>
    <s v="Yes"/>
    <x v="1"/>
  </r>
  <r>
    <n v="13466"/>
    <s v="M"/>
    <x v="0"/>
    <s v="M"/>
    <x v="1"/>
    <n v="80000"/>
    <n v="5"/>
    <x v="1"/>
    <s v="Professional"/>
    <x v="0"/>
    <n v="3"/>
    <x v="3"/>
    <x v="2"/>
    <n v="46"/>
    <x v="0"/>
    <s v="No"/>
    <x v="0"/>
  </r>
  <r>
    <n v="23731"/>
    <s v="M"/>
    <x v="0"/>
    <s v="M"/>
    <x v="1"/>
    <n v="60000"/>
    <n v="2"/>
    <x v="2"/>
    <s v="Professional"/>
    <x v="0"/>
    <n v="2"/>
    <x v="1"/>
    <x v="2"/>
    <n v="54"/>
    <x v="0"/>
    <s v="Yes"/>
    <x v="1"/>
  </r>
  <r>
    <n v="28672"/>
    <s v="S"/>
    <x v="1"/>
    <s v="M"/>
    <x v="1"/>
    <n v="70000"/>
    <n v="4"/>
    <x v="4"/>
    <s v="Professional"/>
    <x v="0"/>
    <n v="0"/>
    <x v="1"/>
    <x v="2"/>
    <n v="35"/>
    <x v="0"/>
    <s v="Yes"/>
    <x v="1"/>
  </r>
  <r>
    <n v="11809"/>
    <s v="M"/>
    <x v="0"/>
    <s v="M"/>
    <x v="1"/>
    <n v="60000"/>
    <n v="2"/>
    <x v="0"/>
    <s v="Skilled Manual"/>
    <x v="0"/>
    <n v="0"/>
    <x v="0"/>
    <x v="2"/>
    <n v="38"/>
    <x v="0"/>
    <s v="Yes"/>
    <x v="1"/>
  </r>
  <r>
    <n v="19664"/>
    <s v="S"/>
    <x v="1"/>
    <s v="M"/>
    <x v="1"/>
    <n v="100000"/>
    <n v="3"/>
    <x v="0"/>
    <s v="Management"/>
    <x v="1"/>
    <n v="3"/>
    <x v="3"/>
    <x v="2"/>
    <n v="38"/>
    <x v="0"/>
    <s v="No"/>
    <x v="0"/>
  </r>
  <r>
    <n v="12121"/>
    <s v="S"/>
    <x v="1"/>
    <s v="M"/>
    <x v="1"/>
    <n v="60000"/>
    <n v="3"/>
    <x v="2"/>
    <s v="Professional"/>
    <x v="0"/>
    <n v="2"/>
    <x v="4"/>
    <x v="2"/>
    <n v="53"/>
    <x v="0"/>
    <s v="Yes"/>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1A887-ED40-4AEA-AD53-A950FD0574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7">
    <pivotField showAll="0"/>
    <pivotField showAll="0"/>
    <pivotField showAll="0">
      <items count="3">
        <item x="0"/>
        <item x="1"/>
        <item t="default"/>
      </items>
    </pivotField>
    <pivotField showAll="0"/>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numFmtId="1" showAll="0"/>
    <pivotField showAll="0"/>
    <pivotField showAll="0"/>
    <pivotField axis="axisCol" showAll="0">
      <items count="3">
        <item x="0"/>
        <item x="1"/>
        <item t="default"/>
      </items>
    </pivotField>
  </pivotFields>
  <rowFields count="1">
    <field x="4"/>
  </rowFields>
  <rowItems count="3">
    <i>
      <x/>
    </i>
    <i>
      <x v="1"/>
    </i>
    <i t="grand">
      <x/>
    </i>
  </rowItems>
  <colFields count="1">
    <field x="16"/>
  </colFields>
  <colItems count="3">
    <i>
      <x/>
    </i>
    <i>
      <x v="1"/>
    </i>
    <i t="grand">
      <x/>
    </i>
  </colItems>
  <dataFields count="1">
    <dataField name="Average of Income" fld="5" subtotal="average" baseField="4" baseItem="1" numFmtId="164"/>
  </dataFields>
  <formats count="1">
    <format dxfId="4">
      <pivotArea outline="0" collapsedLevelsAreSubtotals="1" fieldPosition="0"/>
    </format>
  </formats>
  <chartFormats count="5">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6" count="1" selected="0">
            <x v="1"/>
          </reference>
        </references>
      </pivotArea>
    </chartFormat>
    <chartFormat chart="0" format="6" series="1">
      <pivotArea type="data" outline="0" fieldPosition="0">
        <references count="2">
          <reference field="4294967294" count="1" selected="0">
            <x v="0"/>
          </reference>
          <reference field="16" count="1" selected="0">
            <x v="0"/>
          </reference>
        </references>
      </pivotArea>
    </chartFormat>
    <chartFormat chart="5" format="9" series="1">
      <pivotArea type="data" outline="0" fieldPosition="0">
        <references count="2">
          <reference field="4294967294" count="1" selected="0">
            <x v="0"/>
          </reference>
          <reference field="16" count="1" selected="0">
            <x v="0"/>
          </reference>
        </references>
      </pivotArea>
    </chartFormat>
    <chartFormat chart="5" format="10"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659C03-E7F8-4722-9C0F-57C7938854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17">
    <pivotField showAll="0"/>
    <pivotField showAll="0"/>
    <pivotField showAll="0">
      <items count="3">
        <item x="0"/>
        <item x="1"/>
        <item t="default"/>
      </items>
    </pivotField>
    <pivotField showAll="0"/>
    <pivotField showAll="0"/>
    <pivotField numFmtId="1"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numFmtId="1" showAll="0"/>
    <pivotField showAll="0"/>
    <pivotField showAll="0"/>
    <pivotField axis="axisCol" dataField="1" showAll="0">
      <items count="3">
        <item x="0"/>
        <item x="1"/>
        <item t="default"/>
      </items>
    </pivotField>
  </pivotFields>
  <rowFields count="1">
    <field x="11"/>
  </rowFields>
  <rowItems count="6">
    <i>
      <x/>
    </i>
    <i>
      <x v="2"/>
    </i>
    <i>
      <x v="3"/>
    </i>
    <i>
      <x v="4"/>
    </i>
    <i>
      <x v="5"/>
    </i>
    <i t="grand">
      <x/>
    </i>
  </rowItems>
  <colFields count="1">
    <field x="16"/>
  </colFields>
  <colItems count="3">
    <i>
      <x/>
    </i>
    <i>
      <x v="1"/>
    </i>
    <i t="grand">
      <x/>
    </i>
  </colItems>
  <dataFields count="1">
    <dataField name="Count of Purchased Bike " fld="16" subtotal="count" baseField="0" baseItem="0"/>
  </dataFields>
  <chartFormats count="6">
    <chartFormat chart="4" format="2" series="1">
      <pivotArea type="data" outline="0" fieldPosition="0">
        <references count="1">
          <reference field="16" count="1" selected="0">
            <x v="0"/>
          </reference>
        </references>
      </pivotArea>
    </chartFormat>
    <chartFormat chart="4" format="3" series="1">
      <pivotArea type="data" outline="0" fieldPosition="0">
        <references count="1">
          <reference field="16" count="1" selected="0">
            <x v="1"/>
          </reference>
        </references>
      </pivotArea>
    </chartFormat>
    <chartFormat chart="4" format="4" series="1">
      <pivotArea type="data" outline="0" fieldPosition="0">
        <references count="2">
          <reference field="4294967294" count="1" selected="0">
            <x v="0"/>
          </reference>
          <reference field="16" count="1" selected="0">
            <x v="1"/>
          </reference>
        </references>
      </pivotArea>
    </chartFormat>
    <chartFormat chart="4" format="5" series="1">
      <pivotArea type="data" outline="0" fieldPosition="0">
        <references count="2">
          <reference field="4294967294" count="1" selected="0">
            <x v="0"/>
          </reference>
          <reference field="16" count="1" selected="0">
            <x v="0"/>
          </reference>
        </references>
      </pivotArea>
    </chartFormat>
    <chartFormat chart="7" format="8" series="1">
      <pivotArea type="data" outline="0" fieldPosition="0">
        <references count="2">
          <reference field="4294967294" count="1" selected="0">
            <x v="0"/>
          </reference>
          <reference field="16" count="1" selected="0">
            <x v="0"/>
          </reference>
        </references>
      </pivotArea>
    </chartFormat>
    <chartFormat chart="7" format="9"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D71CB-1971-47F8-85D1-819F57A1D9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8" firstHeaderRow="1" firstDataRow="2" firstDataCol="1"/>
  <pivotFields count="17">
    <pivotField showAll="0"/>
    <pivotField showAll="0"/>
    <pivotField showAll="0">
      <items count="3">
        <item x="0"/>
        <item x="1"/>
        <item t="default"/>
      </items>
    </pivotField>
    <pivotField showAll="0"/>
    <pivotField showAll="0"/>
    <pivotField numFmtId="1" showAll="0"/>
    <pivotField showAll="0"/>
    <pivotField showAll="0">
      <items count="6">
        <item x="0"/>
        <item x="4"/>
        <item x="2"/>
        <item x="1"/>
        <item x="3"/>
        <item t="default"/>
      </items>
    </pivotField>
    <pivotField showAll="0"/>
    <pivotField showAll="0">
      <items count="3">
        <item x="1"/>
        <item x="0"/>
        <item t="default"/>
      </items>
    </pivotField>
    <pivotField showAll="0"/>
    <pivotField showAll="0">
      <items count="7">
        <item x="0"/>
        <item m="1" x="5"/>
        <item x="3"/>
        <item x="1"/>
        <item x="2"/>
        <item x="4"/>
        <item t="default"/>
      </items>
    </pivotField>
    <pivotField showAll="0">
      <items count="4">
        <item x="0"/>
        <item x="2"/>
        <item x="1"/>
        <item t="default"/>
      </items>
    </pivotField>
    <pivotField numFmtId="1" showAll="0"/>
    <pivotField axis="axisRow" showAll="0">
      <items count="4">
        <item x="2"/>
        <item x="0"/>
        <item x="1"/>
        <item t="default"/>
      </items>
    </pivotField>
    <pivotField showAll="0"/>
    <pivotField axis="axisCol" dataField="1" showAll="0">
      <items count="3">
        <item x="0"/>
        <item x="1"/>
        <item t="default"/>
      </items>
    </pivotField>
  </pivotFields>
  <rowFields count="1">
    <field x="14"/>
  </rowFields>
  <rowItems count="4">
    <i>
      <x/>
    </i>
    <i>
      <x v="1"/>
    </i>
    <i>
      <x v="2"/>
    </i>
    <i t="grand">
      <x/>
    </i>
  </rowItems>
  <colFields count="1">
    <field x="16"/>
  </colFields>
  <colItems count="3">
    <i>
      <x/>
    </i>
    <i>
      <x v="1"/>
    </i>
    <i t="grand">
      <x/>
    </i>
  </colItems>
  <dataFields count="1">
    <dataField name="Count of Purchased Bike " fld="16" subtotal="count" baseField="0" baseItem="0"/>
  </dataFields>
  <chartFormats count="14">
    <chartFormat chart="4" format="2" series="1">
      <pivotArea type="data" outline="0" fieldPosition="0">
        <references count="1">
          <reference field="16" count="1" selected="0">
            <x v="0"/>
          </reference>
        </references>
      </pivotArea>
    </chartFormat>
    <chartFormat chart="4" format="3" series="1">
      <pivotArea type="data" outline="0" fieldPosition="0">
        <references count="1">
          <reference field="16" count="1" selected="0">
            <x v="1"/>
          </reference>
        </references>
      </pivotArea>
    </chartFormat>
    <chartFormat chart="3" format="10" series="1">
      <pivotArea type="data" outline="0" fieldPosition="0">
        <references count="1">
          <reference field="16" count="1" selected="0">
            <x v="0"/>
          </reference>
        </references>
      </pivotArea>
    </chartFormat>
    <chartFormat chart="3" format="11" series="1">
      <pivotArea type="data" outline="0" fieldPosition="0">
        <references count="1">
          <reference field="16" count="1" selected="0">
            <x v="1"/>
          </reference>
        </references>
      </pivotArea>
    </chartFormat>
    <chartFormat chart="3" format="12" series="1">
      <pivotArea type="data" outline="0" fieldPosition="0">
        <references count="2">
          <reference field="4294967294" count="1" selected="0">
            <x v="0"/>
          </reference>
          <reference field="16" count="1" selected="0">
            <x v="0"/>
          </reference>
        </references>
      </pivotArea>
    </chartFormat>
    <chartFormat chart="3" format="13" series="1">
      <pivotArea type="data" outline="0" fieldPosition="0">
        <references count="2">
          <reference field="4294967294" count="1" selected="0">
            <x v="0"/>
          </reference>
          <reference field="16" count="1" selected="0">
            <x v="1"/>
          </reference>
        </references>
      </pivotArea>
    </chartFormat>
    <chartFormat chart="4" format="4" series="1">
      <pivotArea type="data" outline="0" fieldPosition="0">
        <references count="2">
          <reference field="4294967294" count="1" selected="0">
            <x v="0"/>
          </reference>
          <reference field="16" count="1" selected="0">
            <x v="1"/>
          </reference>
        </references>
      </pivotArea>
    </chartFormat>
    <chartFormat chart="4" format="5" series="1">
      <pivotArea type="data" outline="0" fieldPosition="0">
        <references count="2">
          <reference field="4294967294" count="1" selected="0">
            <x v="0"/>
          </reference>
          <reference field="16" count="1" selected="0">
            <x v="0"/>
          </reference>
        </references>
      </pivotArea>
    </chartFormat>
    <chartFormat chart="7" format="0" series="1">
      <pivotArea type="data" outline="0" fieldPosition="0">
        <references count="2">
          <reference field="4294967294" count="1" selected="0">
            <x v="0"/>
          </reference>
          <reference field="16" count="1" selected="0">
            <x v="0"/>
          </reference>
        </references>
      </pivotArea>
    </chartFormat>
    <chartFormat chart="7" format="1" series="1">
      <pivotArea type="data" outline="0" fieldPosition="0">
        <references count="2">
          <reference field="4294967294" count="1" selected="0">
            <x v="0"/>
          </reference>
          <reference field="16" count="1" selected="0">
            <x v="1"/>
          </reference>
        </references>
      </pivotArea>
    </chartFormat>
    <chartFormat chart="9" format="2" series="1">
      <pivotArea type="data" outline="0" fieldPosition="0">
        <references count="2">
          <reference field="4294967294" count="1" selected="0">
            <x v="0"/>
          </reference>
          <reference field="16" count="1" selected="0">
            <x v="0"/>
          </reference>
        </references>
      </pivotArea>
    </chartFormat>
    <chartFormat chart="9" format="3" series="1">
      <pivotArea type="data" outline="0" fieldPosition="0">
        <references count="2">
          <reference field="4294967294" count="1" selected="0">
            <x v="0"/>
          </reference>
          <reference field="16" count="1" selected="0">
            <x v="1"/>
          </reference>
        </references>
      </pivotArea>
    </chartFormat>
    <chartFormat chart="10" format="4" series="1">
      <pivotArea type="data" outline="0" fieldPosition="0">
        <references count="2">
          <reference field="4294967294" count="1" selected="0">
            <x v="0"/>
          </reference>
          <reference field="16" count="1" selected="0">
            <x v="0"/>
          </reference>
        </references>
      </pivotArea>
    </chartFormat>
    <chartFormat chart="10"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D0F253A-2381-4E1C-8D8D-B930B626B599}" sourceName="Marital Status ">
  <pivotTables>
    <pivotTable tabId="3" name="PivotTable1"/>
    <pivotTable tabId="4" name="PivotTable1"/>
    <pivotTable tabId="2" name="PivotTable1"/>
  </pivotTables>
  <data>
    <tabular pivotCacheId="11974426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C4FCD59-AD13-495D-AB5B-E556AE9349CB}" sourceName="Education">
  <pivotTables>
    <pivotTable tabId="3" name="PivotTable1"/>
    <pivotTable tabId="4" name="PivotTable1"/>
    <pivotTable tabId="2" name="PivotTable1"/>
  </pivotTables>
  <data>
    <tabular pivotCacheId="11974426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D01C2276-3ABE-4E90-B483-6747CD5DCF3D}" sourceName="Home Owner">
  <pivotTables>
    <pivotTable tabId="3" name="PivotTable1"/>
    <pivotTable tabId="4" name="PivotTable1"/>
    <pivotTable tabId="2" name="PivotTable1"/>
  </pivotTables>
  <data>
    <tabular pivotCacheId="119744260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B9176F-8353-4541-939A-2C129BA4D5C6}" sourceName="Region">
  <pivotTables>
    <pivotTable tabId="3" name="PivotTable1"/>
    <pivotTable tabId="4" name="PivotTable1"/>
    <pivotTable tabId="2" name="PivotTable1"/>
  </pivotTables>
  <data>
    <tabular pivotCacheId="11974426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 xr10:uid="{E2F4F247-AC21-427A-B43B-E3C39C384621}" cache="Slicer_Marital_Status" caption="Marital Status " style="Slicer Style 1" rowHeight="234950"/>
  <slicer name="Education" xr10:uid="{D326EA85-275E-4D8F-BE35-56DCBD47CED2}" cache="Slicer_Education" caption="Education" style="Slicer Style 1" rowHeight="234950"/>
  <slicer name="Home Owner" xr10:uid="{6539A5DB-4E32-4256-B5E4-8EFD0FF2430F}" cache="Slicer_Home_Owner" caption="Home Owner" style="Slicer Style 1" rowHeight="234950"/>
  <slicer name="Region" xr10:uid="{FFDC2B9F-96FF-477D-8E8C-21038B695622}" cache="Slicer_Region"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22662D-052A-48F9-8CF6-7ABD86BA8434}" name="BikePurchase" displayName="BikePurchase" ref="A1:Q1001" totalsRowShown="0">
  <autoFilter ref="A1:Q1001" xr:uid="{0022662D-052A-48F9-8CF6-7ABD86BA8434}"/>
  <tableColumns count="17">
    <tableColumn id="1" xr3:uid="{3FC53B25-AD19-4D70-947E-0BC0A446F74B}" name="ID"/>
    <tableColumn id="2" xr3:uid="{A32CD2F1-CB8A-4937-8DD7-029A61EE66F4}" name="Marital Status X"/>
    <tableColumn id="3" xr3:uid="{9E92CCE2-4205-403E-A6AA-A8CAAD70D17F}" name="Marital Status ">
      <calculatedColumnFormula>IF(B2="M","Married","Single")</calculatedColumnFormula>
    </tableColumn>
    <tableColumn id="4" xr3:uid="{E589A024-B256-455C-897C-5631B6C2DABD}" name="GenderX"/>
    <tableColumn id="5" xr3:uid="{2DD945F7-9939-47CB-A35B-1D9DE0B1BABE}" name="Gender">
      <calculatedColumnFormula>IF(D2="F","Female","Male")</calculatedColumnFormula>
    </tableColumn>
    <tableColumn id="6" xr3:uid="{721D5F03-ED23-4262-A76C-FF54A8C15AC4}" name="Income" dataDxfId="3"/>
    <tableColumn id="7" xr3:uid="{25C20693-A40C-41A3-B89E-F22AE2C629ED}" name="Children"/>
    <tableColumn id="8" xr3:uid="{4538BF38-C184-475A-9382-2D96748875F5}" name="Education"/>
    <tableColumn id="9" xr3:uid="{2B260067-0313-4A31-A3E0-9382ADAA693A}" name="Occupation"/>
    <tableColumn id="10" xr3:uid="{8D43ED90-652F-470D-9EBE-778D7CC21317}" name="Home Owner"/>
    <tableColumn id="11" xr3:uid="{42CDC0BD-5659-49AF-A4F8-69F9DDEE50D7}" name="Cars"/>
    <tableColumn id="12" xr3:uid="{15872CD4-2C7B-45C3-929B-F9CAB99CDA71}" name="Commute Distance"/>
    <tableColumn id="13" xr3:uid="{6A736AD0-7F12-4A29-AE0B-11E19B860CA0}" name="Region"/>
    <tableColumn id="14" xr3:uid="{6A133889-C191-4BD0-8E31-01DD15DAD415}" name="Age" dataDxfId="2"/>
    <tableColumn id="16" xr3:uid="{C5C2A905-DB89-4001-ABE2-C33B0DBEBD1B}" name="Age Group" dataDxfId="1">
      <calculatedColumnFormula array="1">_xlfn.IFS(
  AND(BikePurchase[[#This Row],[Age]]&gt;=18, BikePurchase[[#This Row],[Age]]&lt;=30), "Adolescent",
  AND(BikePurchase[[#This Row],[Age]]&gt;30, BikePurchase[[#This Row],[Age]]&lt;55), "Middle Aged",
  AND(BikePurchase[[#This Row],[Age]]&gt;=55, BikePurchase[[#This Row],[Age]]&lt;90), "Old",
  TRUE, "Invalid"
)</calculatedColumnFormula>
    </tableColumn>
    <tableColumn id="15" xr3:uid="{AFC28378-9A21-41E5-B560-BA92C9E2F4F0}" name="Purchased BikeX"/>
    <tableColumn id="17" xr3:uid="{567BCDF7-4227-4B9A-ABEF-7244303DD604}" name="Purchased Bike " dataDxfId="0">
      <calculatedColumnFormula>IF(BikePurchase[[#This Row],[Purchased BikeX]]="No","Not Purchased","Purchased")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0B1A3-CD31-40CF-922A-6ABF2E5C2ABC}">
  <dimension ref="A1"/>
  <sheetViews>
    <sheetView showGridLines="0" tabSelected="1" topLeftCell="A2" workbookViewId="0">
      <selection activeCell="T18" sqref="T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62E2F-4576-4749-B6F7-9ADEEE3638DC}">
  <dimension ref="A3:D7"/>
  <sheetViews>
    <sheetView workbookViewId="0">
      <selection activeCell="E11" sqref="E11"/>
    </sheetView>
  </sheetViews>
  <sheetFormatPr defaultRowHeight="14.4" x14ac:dyDescent="0.3"/>
  <cols>
    <col min="1" max="1" width="17" bestFit="1" customWidth="1"/>
    <col min="2" max="2" width="15.5546875" bestFit="1" customWidth="1"/>
    <col min="3" max="3" width="9.77734375" bestFit="1" customWidth="1"/>
    <col min="4" max="4" width="10.77734375" bestFit="1" customWidth="1"/>
    <col min="5" max="5" width="13.88671875" bestFit="1" customWidth="1"/>
    <col min="6" max="6" width="26.6640625" bestFit="1" customWidth="1"/>
    <col min="7" max="7" width="18.6640625" bestFit="1" customWidth="1"/>
  </cols>
  <sheetData>
    <row r="3" spans="1:4" x14ac:dyDescent="0.3">
      <c r="A3" s="3" t="s">
        <v>42</v>
      </c>
      <c r="B3" s="3" t="s">
        <v>41</v>
      </c>
    </row>
    <row r="4" spans="1:4" x14ac:dyDescent="0.3">
      <c r="A4" s="3" t="s">
        <v>37</v>
      </c>
      <c r="B4" t="s">
        <v>45</v>
      </c>
      <c r="C4" t="s">
        <v>46</v>
      </c>
      <c r="D4" t="s">
        <v>40</v>
      </c>
    </row>
    <row r="5" spans="1:4" x14ac:dyDescent="0.3">
      <c r="A5" s="4" t="s">
        <v>38</v>
      </c>
      <c r="B5" s="5">
        <v>53440</v>
      </c>
      <c r="C5" s="5">
        <v>55774.058577405856</v>
      </c>
      <c r="D5" s="5">
        <v>54580.777096114522</v>
      </c>
    </row>
    <row r="6" spans="1:4" x14ac:dyDescent="0.3">
      <c r="A6" s="4" t="s">
        <v>39</v>
      </c>
      <c r="B6" s="5">
        <v>56208.178438661707</v>
      </c>
      <c r="C6" s="5">
        <v>60123.966942148763</v>
      </c>
      <c r="D6" s="5">
        <v>58062.62230919765</v>
      </c>
    </row>
    <row r="7" spans="1:4" x14ac:dyDescent="0.3">
      <c r="A7" s="4" t="s">
        <v>40</v>
      </c>
      <c r="B7" s="5">
        <v>54874.759152215796</v>
      </c>
      <c r="C7" s="5">
        <v>57962.577962577961</v>
      </c>
      <c r="D7" s="5">
        <v>56360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69EC-0D29-4B32-BE97-A9DBAE151B49}">
  <dimension ref="A3:D10"/>
  <sheetViews>
    <sheetView workbookViewId="0">
      <selection activeCell="E19" sqref="E19"/>
    </sheetView>
  </sheetViews>
  <sheetFormatPr defaultRowHeight="14.4" x14ac:dyDescent="0.3"/>
  <cols>
    <col min="1" max="1" width="22.33203125" bestFit="1" customWidth="1"/>
    <col min="2" max="2" width="15.5546875" bestFit="1" customWidth="1"/>
    <col min="3" max="3" width="9.77734375" bestFit="1" customWidth="1"/>
    <col min="4" max="4" width="10.77734375" bestFit="1" customWidth="1"/>
    <col min="5" max="5" width="13.88671875" bestFit="1" customWidth="1"/>
    <col min="6" max="6" width="26.6640625" bestFit="1" customWidth="1"/>
    <col min="7" max="7" width="18.6640625" bestFit="1" customWidth="1"/>
  </cols>
  <sheetData>
    <row r="3" spans="1:4" x14ac:dyDescent="0.3">
      <c r="A3" s="3" t="s">
        <v>47</v>
      </c>
      <c r="B3" s="3" t="s">
        <v>41</v>
      </c>
    </row>
    <row r="4" spans="1:4" x14ac:dyDescent="0.3">
      <c r="A4" s="3" t="s">
        <v>37</v>
      </c>
      <c r="B4" t="s">
        <v>45</v>
      </c>
      <c r="C4" t="s">
        <v>46</v>
      </c>
      <c r="D4" t="s">
        <v>40</v>
      </c>
    </row>
    <row r="5" spans="1:4" x14ac:dyDescent="0.3">
      <c r="A5" s="4" t="s">
        <v>35</v>
      </c>
      <c r="B5" s="6">
        <v>166</v>
      </c>
      <c r="C5" s="6">
        <v>200</v>
      </c>
      <c r="D5" s="6">
        <v>366</v>
      </c>
    </row>
    <row r="6" spans="1:4" x14ac:dyDescent="0.3">
      <c r="A6" s="4" t="s">
        <v>23</v>
      </c>
      <c r="B6" s="6">
        <v>92</v>
      </c>
      <c r="C6" s="6">
        <v>77</v>
      </c>
      <c r="D6" s="6">
        <v>169</v>
      </c>
    </row>
    <row r="7" spans="1:4" x14ac:dyDescent="0.3">
      <c r="A7" s="4" t="s">
        <v>19</v>
      </c>
      <c r="B7" s="6">
        <v>67</v>
      </c>
      <c r="C7" s="6">
        <v>95</v>
      </c>
      <c r="D7" s="6">
        <v>162</v>
      </c>
    </row>
    <row r="8" spans="1:4" x14ac:dyDescent="0.3">
      <c r="A8" s="4" t="s">
        <v>20</v>
      </c>
      <c r="B8" s="6">
        <v>116</v>
      </c>
      <c r="C8" s="6">
        <v>76</v>
      </c>
      <c r="D8" s="6">
        <v>192</v>
      </c>
    </row>
    <row r="9" spans="1:4" x14ac:dyDescent="0.3">
      <c r="A9" s="4" t="s">
        <v>48</v>
      </c>
      <c r="B9" s="6">
        <v>78</v>
      </c>
      <c r="C9" s="6">
        <v>33</v>
      </c>
      <c r="D9" s="6">
        <v>111</v>
      </c>
    </row>
    <row r="10" spans="1:4" x14ac:dyDescent="0.3">
      <c r="A10" s="4" t="s">
        <v>40</v>
      </c>
      <c r="B10" s="6">
        <v>519</v>
      </c>
      <c r="C10" s="6">
        <v>481</v>
      </c>
      <c r="D10"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AF97-2591-4608-9BFF-008455B95096}">
  <dimension ref="A3:D8"/>
  <sheetViews>
    <sheetView workbookViewId="0">
      <selection activeCell="J12" sqref="J12"/>
    </sheetView>
  </sheetViews>
  <sheetFormatPr defaultRowHeight="14.4" x14ac:dyDescent="0.3"/>
  <cols>
    <col min="1" max="1" width="22.33203125" bestFit="1" customWidth="1"/>
    <col min="2" max="2" width="15.5546875" bestFit="1" customWidth="1"/>
    <col min="3" max="3" width="9.77734375" bestFit="1" customWidth="1"/>
    <col min="4" max="4" width="10.77734375" bestFit="1" customWidth="1"/>
    <col min="5" max="5" width="13.88671875" bestFit="1" customWidth="1"/>
    <col min="6" max="6" width="26.6640625" bestFit="1" customWidth="1"/>
    <col min="7" max="7" width="18.6640625" bestFit="1" customWidth="1"/>
  </cols>
  <sheetData>
    <row r="3" spans="1:4" x14ac:dyDescent="0.3">
      <c r="A3" s="3" t="s">
        <v>47</v>
      </c>
      <c r="B3" s="3" t="s">
        <v>41</v>
      </c>
    </row>
    <row r="4" spans="1:4" x14ac:dyDescent="0.3">
      <c r="A4" s="3" t="s">
        <v>37</v>
      </c>
      <c r="B4" t="s">
        <v>45</v>
      </c>
      <c r="C4" t="s">
        <v>46</v>
      </c>
      <c r="D4" t="s">
        <v>40</v>
      </c>
    </row>
    <row r="5" spans="1:4" x14ac:dyDescent="0.3">
      <c r="A5" s="4" t="s">
        <v>49</v>
      </c>
      <c r="B5" s="6">
        <v>71</v>
      </c>
      <c r="C5" s="6">
        <v>39</v>
      </c>
      <c r="D5" s="6">
        <v>110</v>
      </c>
    </row>
    <row r="6" spans="1:4" x14ac:dyDescent="0.3">
      <c r="A6" s="4" t="s">
        <v>50</v>
      </c>
      <c r="B6" s="6">
        <v>318</v>
      </c>
      <c r="C6" s="6">
        <v>383</v>
      </c>
      <c r="D6" s="6">
        <v>701</v>
      </c>
    </row>
    <row r="7" spans="1:4" x14ac:dyDescent="0.3">
      <c r="A7" s="4" t="s">
        <v>51</v>
      </c>
      <c r="B7" s="6">
        <v>130</v>
      </c>
      <c r="C7" s="6">
        <v>59</v>
      </c>
      <c r="D7" s="6">
        <v>189</v>
      </c>
    </row>
    <row r="8" spans="1:4" x14ac:dyDescent="0.3">
      <c r="A8" s="4" t="s">
        <v>40</v>
      </c>
      <c r="B8" s="6">
        <v>519</v>
      </c>
      <c r="C8" s="6">
        <v>481</v>
      </c>
      <c r="D8" s="6">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7"/>
  <sheetViews>
    <sheetView topLeftCell="G1" workbookViewId="0">
      <selection activeCell="M19" sqref="M19"/>
    </sheetView>
  </sheetViews>
  <sheetFormatPr defaultColWidth="11.88671875" defaultRowHeight="14.4" x14ac:dyDescent="0.3"/>
  <cols>
    <col min="1" max="1" width="6" bestFit="1" customWidth="1"/>
    <col min="2" max="2" width="0" hidden="1" customWidth="1"/>
    <col min="3" max="3" width="18.77734375" customWidth="1"/>
    <col min="4" max="4" width="0" hidden="1" customWidth="1"/>
    <col min="6" max="6" width="11.88671875" style="2"/>
    <col min="9" max="9" width="12.5546875" customWidth="1"/>
    <col min="10" max="10" width="13.88671875" customWidth="1"/>
    <col min="12" max="12" width="18.77734375" customWidth="1"/>
    <col min="14" max="14" width="11.88671875" style="2"/>
    <col min="16" max="16" width="15.6640625" hidden="1" customWidth="1"/>
  </cols>
  <sheetData>
    <row r="1" spans="1:17" x14ac:dyDescent="0.3">
      <c r="A1" t="s">
        <v>0</v>
      </c>
      <c r="B1" t="s">
        <v>32</v>
      </c>
      <c r="C1" t="s">
        <v>33</v>
      </c>
      <c r="D1" t="s">
        <v>34</v>
      </c>
      <c r="E1" t="s">
        <v>1</v>
      </c>
      <c r="F1" s="2" t="s">
        <v>2</v>
      </c>
      <c r="G1" t="s">
        <v>3</v>
      </c>
      <c r="H1" t="s">
        <v>4</v>
      </c>
      <c r="I1" t="s">
        <v>5</v>
      </c>
      <c r="J1" t="s">
        <v>6</v>
      </c>
      <c r="K1" t="s">
        <v>7</v>
      </c>
      <c r="L1" t="s">
        <v>8</v>
      </c>
      <c r="M1" t="s">
        <v>9</v>
      </c>
      <c r="N1" s="2" t="s">
        <v>10</v>
      </c>
      <c r="O1" t="s">
        <v>36</v>
      </c>
      <c r="P1" t="s">
        <v>44</v>
      </c>
      <c r="Q1" t="s">
        <v>43</v>
      </c>
    </row>
    <row r="2" spans="1:17" x14ac:dyDescent="0.3">
      <c r="A2">
        <v>12496</v>
      </c>
      <c r="B2" t="s">
        <v>30</v>
      </c>
      <c r="C2" t="str">
        <f t="shared" ref="C2:C65" si="0">IF(B2="M","Married","Single")</f>
        <v>Married</v>
      </c>
      <c r="D2" t="s">
        <v>29</v>
      </c>
      <c r="E2" t="str">
        <f t="shared" ref="E2:E65" si="1">IF(D2="F","Female","Male")</f>
        <v>Female</v>
      </c>
      <c r="F2" s="2">
        <v>40000</v>
      </c>
      <c r="G2">
        <v>1</v>
      </c>
      <c r="H2" t="s">
        <v>11</v>
      </c>
      <c r="I2" t="s">
        <v>12</v>
      </c>
      <c r="J2" t="s">
        <v>13</v>
      </c>
      <c r="K2">
        <v>0</v>
      </c>
      <c r="L2" t="s">
        <v>35</v>
      </c>
      <c r="M2" t="s">
        <v>14</v>
      </c>
      <c r="N2" s="2">
        <v>42</v>
      </c>
      <c r="O2" t="str" cm="1">
        <f t="array" ref="O2">_xlfn.IFS(
  AND(BikePurchase[[#This Row],[Age]]&gt;=18, BikePurchase[[#This Row],[Age]]&lt;=30), "Adolescent",
  AND(BikePurchase[[#This Row],[Age]]&gt;30, BikePurchase[[#This Row],[Age]]&lt;55), "Middle Aged",
  AND(BikePurchase[[#This Row],[Age]]&gt;=55, BikePurchase[[#This Row],[Age]]&lt;90), "Old",
  TRUE, "Invalid"
)</f>
        <v>Middle Aged</v>
      </c>
      <c r="P2" t="s">
        <v>15</v>
      </c>
      <c r="Q2" t="str">
        <f>IF(BikePurchase[[#This Row],[Purchased BikeX]]="No","Not Purchased","Purchased")</f>
        <v>Not Purchased</v>
      </c>
    </row>
    <row r="3" spans="1:17" x14ac:dyDescent="0.3">
      <c r="A3">
        <v>24107</v>
      </c>
      <c r="B3" t="s">
        <v>30</v>
      </c>
      <c r="C3" t="str">
        <f t="shared" si="0"/>
        <v>Married</v>
      </c>
      <c r="D3" t="s">
        <v>30</v>
      </c>
      <c r="E3" t="str">
        <f t="shared" si="1"/>
        <v>Male</v>
      </c>
      <c r="F3" s="2">
        <v>30000</v>
      </c>
      <c r="G3">
        <v>3</v>
      </c>
      <c r="H3" t="s">
        <v>16</v>
      </c>
      <c r="I3" t="s">
        <v>17</v>
      </c>
      <c r="J3" t="s">
        <v>13</v>
      </c>
      <c r="K3">
        <v>1</v>
      </c>
      <c r="L3" t="s">
        <v>35</v>
      </c>
      <c r="M3" t="s">
        <v>14</v>
      </c>
      <c r="N3" s="2">
        <v>43</v>
      </c>
      <c r="O3" t="str" cm="1">
        <f t="array" ref="O3">_xlfn.IFS(
  AND(BikePurchase[[#This Row],[Age]]&gt;=18, BikePurchase[[#This Row],[Age]]&lt;=30), "Adolescent",
  AND(BikePurchase[[#This Row],[Age]]&gt;30, BikePurchase[[#This Row],[Age]]&lt;55), "Middle Aged",
  AND(BikePurchase[[#This Row],[Age]]&gt;=55, BikePurchase[[#This Row],[Age]]&lt;90), "Old",
  TRUE, "Invalid"
)</f>
        <v>Middle Aged</v>
      </c>
      <c r="P3" t="s">
        <v>15</v>
      </c>
      <c r="Q3" t="str">
        <f>IF(BikePurchase[[#This Row],[Purchased BikeX]]="No","Not Purchased","Purchased")</f>
        <v>Not Purchased</v>
      </c>
    </row>
    <row r="4" spans="1:17" x14ac:dyDescent="0.3">
      <c r="A4">
        <v>14177</v>
      </c>
      <c r="B4" t="s">
        <v>30</v>
      </c>
      <c r="C4" t="str">
        <f t="shared" si="0"/>
        <v>Married</v>
      </c>
      <c r="D4" t="s">
        <v>30</v>
      </c>
      <c r="E4" t="str">
        <f t="shared" si="1"/>
        <v>Male</v>
      </c>
      <c r="F4" s="2">
        <v>80000</v>
      </c>
      <c r="G4">
        <v>5</v>
      </c>
      <c r="H4" t="s">
        <v>16</v>
      </c>
      <c r="I4" t="s">
        <v>18</v>
      </c>
      <c r="J4" t="s">
        <v>15</v>
      </c>
      <c r="K4">
        <v>2</v>
      </c>
      <c r="L4" t="s">
        <v>19</v>
      </c>
      <c r="M4" t="s">
        <v>14</v>
      </c>
      <c r="N4" s="2">
        <v>60</v>
      </c>
      <c r="O4" t="str" cm="1">
        <f t="array" ref="O4">_xlfn.IFS(
  AND(BikePurchase[[#This Row],[Age]]&gt;=18, BikePurchase[[#This Row],[Age]]&lt;=30), "Adolescent",
  AND(BikePurchase[[#This Row],[Age]]&gt;30, BikePurchase[[#This Row],[Age]]&lt;55), "Middle Aged",
  AND(BikePurchase[[#This Row],[Age]]&gt;=55, BikePurchase[[#This Row],[Age]]&lt;90), "Old",
  TRUE, "Invalid"
)</f>
        <v>Old</v>
      </c>
      <c r="P4" t="s">
        <v>15</v>
      </c>
      <c r="Q4" t="str">
        <f>IF(BikePurchase[[#This Row],[Purchased BikeX]]="No","Not Purchased","Purchased")</f>
        <v>Not Purchased</v>
      </c>
    </row>
    <row r="5" spans="1:17" x14ac:dyDescent="0.3">
      <c r="A5">
        <v>24381</v>
      </c>
      <c r="B5" t="s">
        <v>31</v>
      </c>
      <c r="C5" t="str">
        <f t="shared" si="0"/>
        <v>Single</v>
      </c>
      <c r="D5" t="s">
        <v>30</v>
      </c>
      <c r="E5" t="str">
        <f t="shared" si="1"/>
        <v>Male</v>
      </c>
      <c r="F5" s="2">
        <v>70000</v>
      </c>
      <c r="G5">
        <v>0</v>
      </c>
      <c r="H5" t="s">
        <v>11</v>
      </c>
      <c r="I5" t="s">
        <v>18</v>
      </c>
      <c r="J5" t="s">
        <v>13</v>
      </c>
      <c r="K5">
        <v>1</v>
      </c>
      <c r="L5" t="s">
        <v>20</v>
      </c>
      <c r="M5" t="s">
        <v>21</v>
      </c>
      <c r="N5" s="2">
        <v>41</v>
      </c>
      <c r="O5" t="str" cm="1">
        <f t="array" ref="O5">_xlfn.IFS(
  AND(BikePurchase[[#This Row],[Age]]&gt;=18, BikePurchase[[#This Row],[Age]]&lt;=30), "Adolescent",
  AND(BikePurchase[[#This Row],[Age]]&gt;30, BikePurchase[[#This Row],[Age]]&lt;55), "Middle Aged",
  AND(BikePurchase[[#This Row],[Age]]&gt;=55, BikePurchase[[#This Row],[Age]]&lt;90), "Old",
  TRUE, "Invalid"
)</f>
        <v>Middle Aged</v>
      </c>
      <c r="P5" t="s">
        <v>13</v>
      </c>
      <c r="Q5" t="str">
        <f>IF(BikePurchase[[#This Row],[Purchased BikeX]]="No","Not Purchased","Purchased")</f>
        <v>Purchased</v>
      </c>
    </row>
    <row r="6" spans="1:17" x14ac:dyDescent="0.3">
      <c r="A6">
        <v>25597</v>
      </c>
      <c r="B6" t="s">
        <v>31</v>
      </c>
      <c r="C6" t="str">
        <f t="shared" si="0"/>
        <v>Single</v>
      </c>
      <c r="D6" t="s">
        <v>30</v>
      </c>
      <c r="E6" t="str">
        <f t="shared" si="1"/>
        <v>Male</v>
      </c>
      <c r="F6" s="2">
        <v>30000</v>
      </c>
      <c r="G6">
        <v>0</v>
      </c>
      <c r="H6" t="s">
        <v>11</v>
      </c>
      <c r="I6" t="s">
        <v>17</v>
      </c>
      <c r="J6" t="s">
        <v>15</v>
      </c>
      <c r="K6">
        <v>0</v>
      </c>
      <c r="L6" t="s">
        <v>35</v>
      </c>
      <c r="M6" t="s">
        <v>14</v>
      </c>
      <c r="N6" s="2">
        <v>36</v>
      </c>
      <c r="O6" t="str" cm="1">
        <f t="array" ref="O6">_xlfn.IFS(
  AND(BikePurchase[[#This Row],[Age]]&gt;=18, BikePurchase[[#This Row],[Age]]&lt;=30), "Adolescent",
  AND(BikePurchase[[#This Row],[Age]]&gt;30, BikePurchase[[#This Row],[Age]]&lt;55), "Middle Aged",
  AND(BikePurchase[[#This Row],[Age]]&gt;=55, BikePurchase[[#This Row],[Age]]&lt;90), "Old",
  TRUE, "Invalid"
)</f>
        <v>Middle Aged</v>
      </c>
      <c r="P6" t="s">
        <v>13</v>
      </c>
      <c r="Q6" t="str">
        <f>IF(BikePurchase[[#This Row],[Purchased BikeX]]="No","Not Purchased","Purchased")</f>
        <v>Purchased</v>
      </c>
    </row>
    <row r="7" spans="1:17" x14ac:dyDescent="0.3">
      <c r="A7">
        <v>13507</v>
      </c>
      <c r="B7" t="s">
        <v>30</v>
      </c>
      <c r="C7" t="str">
        <f t="shared" si="0"/>
        <v>Married</v>
      </c>
      <c r="D7" t="s">
        <v>29</v>
      </c>
      <c r="E7" t="str">
        <f t="shared" si="1"/>
        <v>Female</v>
      </c>
      <c r="F7" s="2">
        <v>10000</v>
      </c>
      <c r="G7">
        <v>2</v>
      </c>
      <c r="H7" t="s">
        <v>16</v>
      </c>
      <c r="I7" t="s">
        <v>22</v>
      </c>
      <c r="J7" t="s">
        <v>13</v>
      </c>
      <c r="K7">
        <v>0</v>
      </c>
      <c r="L7" t="s">
        <v>23</v>
      </c>
      <c r="M7" t="s">
        <v>14</v>
      </c>
      <c r="N7" s="2">
        <v>50</v>
      </c>
      <c r="O7" t="str" cm="1">
        <f t="array" ref="O7">_xlfn.IFS(
  AND(BikePurchase[[#This Row],[Age]]&gt;=18, BikePurchase[[#This Row],[Age]]&lt;=30), "Adolescent",
  AND(BikePurchase[[#This Row],[Age]]&gt;30, BikePurchase[[#This Row],[Age]]&lt;55), "Middle Aged",
  AND(BikePurchase[[#This Row],[Age]]&gt;=55, BikePurchase[[#This Row],[Age]]&lt;90), "Old",
  TRUE, "Invalid"
)</f>
        <v>Middle Aged</v>
      </c>
      <c r="P7" t="s">
        <v>15</v>
      </c>
      <c r="Q7" t="str">
        <f>IF(BikePurchase[[#This Row],[Purchased BikeX]]="No","Not Purchased","Purchased")</f>
        <v>Not Purchased</v>
      </c>
    </row>
    <row r="8" spans="1:17" x14ac:dyDescent="0.3">
      <c r="A8">
        <v>27974</v>
      </c>
      <c r="B8" t="s">
        <v>31</v>
      </c>
      <c r="C8" t="str">
        <f t="shared" si="0"/>
        <v>Single</v>
      </c>
      <c r="D8" t="s">
        <v>30</v>
      </c>
      <c r="E8" t="str">
        <f t="shared" si="1"/>
        <v>Male</v>
      </c>
      <c r="F8" s="2">
        <v>160000</v>
      </c>
      <c r="G8">
        <v>2</v>
      </c>
      <c r="H8" t="s">
        <v>24</v>
      </c>
      <c r="I8" t="s">
        <v>25</v>
      </c>
      <c r="J8" t="s">
        <v>13</v>
      </c>
      <c r="K8">
        <v>4</v>
      </c>
      <c r="L8" t="s">
        <v>35</v>
      </c>
      <c r="M8" t="s">
        <v>21</v>
      </c>
      <c r="N8" s="2">
        <v>33</v>
      </c>
      <c r="O8" t="str" cm="1">
        <f t="array" ref="O8">_xlfn.IFS(
  AND(BikePurchase[[#This Row],[Age]]&gt;=18, BikePurchase[[#This Row],[Age]]&lt;=30), "Adolescent",
  AND(BikePurchase[[#This Row],[Age]]&gt;30, BikePurchase[[#This Row],[Age]]&lt;55), "Middle Aged",
  AND(BikePurchase[[#This Row],[Age]]&gt;=55, BikePurchase[[#This Row],[Age]]&lt;90), "Old",
  TRUE, "Invalid"
)</f>
        <v>Middle Aged</v>
      </c>
      <c r="P8" t="s">
        <v>13</v>
      </c>
      <c r="Q8" t="str">
        <f>IF(BikePurchase[[#This Row],[Purchased BikeX]]="No","Not Purchased","Purchased")</f>
        <v>Purchased</v>
      </c>
    </row>
    <row r="9" spans="1:17" x14ac:dyDescent="0.3">
      <c r="A9">
        <v>19364</v>
      </c>
      <c r="B9" t="s">
        <v>30</v>
      </c>
      <c r="C9" t="str">
        <f t="shared" si="0"/>
        <v>Married</v>
      </c>
      <c r="D9" t="s">
        <v>30</v>
      </c>
      <c r="E9" t="str">
        <f t="shared" si="1"/>
        <v>Male</v>
      </c>
      <c r="F9" s="2">
        <v>40000</v>
      </c>
      <c r="G9">
        <v>1</v>
      </c>
      <c r="H9" t="s">
        <v>11</v>
      </c>
      <c r="I9" t="s">
        <v>12</v>
      </c>
      <c r="J9" t="s">
        <v>13</v>
      </c>
      <c r="K9">
        <v>0</v>
      </c>
      <c r="L9" t="s">
        <v>35</v>
      </c>
      <c r="M9" t="s">
        <v>14</v>
      </c>
      <c r="N9" s="2">
        <v>43</v>
      </c>
      <c r="O9" t="str" cm="1">
        <f t="array" ref="O9">_xlfn.IFS(
  AND(BikePurchase[[#This Row],[Age]]&gt;=18, BikePurchase[[#This Row],[Age]]&lt;=30), "Adolescent",
  AND(BikePurchase[[#This Row],[Age]]&gt;30, BikePurchase[[#This Row],[Age]]&lt;55), "Middle Aged",
  AND(BikePurchase[[#This Row],[Age]]&gt;=55, BikePurchase[[#This Row],[Age]]&lt;90), "Old",
  TRUE, "Invalid"
)</f>
        <v>Middle Aged</v>
      </c>
      <c r="P9" t="s">
        <v>13</v>
      </c>
      <c r="Q9" t="str">
        <f>IF(BikePurchase[[#This Row],[Purchased BikeX]]="No","Not Purchased","Purchased")</f>
        <v>Purchased</v>
      </c>
    </row>
    <row r="10" spans="1:17" x14ac:dyDescent="0.3">
      <c r="A10">
        <v>22155</v>
      </c>
      <c r="B10" t="s">
        <v>30</v>
      </c>
      <c r="C10" t="str">
        <f t="shared" si="0"/>
        <v>Married</v>
      </c>
      <c r="D10" t="s">
        <v>30</v>
      </c>
      <c r="E10" t="str">
        <f t="shared" si="1"/>
        <v>Male</v>
      </c>
      <c r="F10" s="2">
        <v>20000</v>
      </c>
      <c r="G10">
        <v>2</v>
      </c>
      <c r="H10" t="s">
        <v>26</v>
      </c>
      <c r="I10" t="s">
        <v>17</v>
      </c>
      <c r="J10" t="s">
        <v>13</v>
      </c>
      <c r="K10">
        <v>2</v>
      </c>
      <c r="L10" t="s">
        <v>20</v>
      </c>
      <c r="M10" t="s">
        <v>21</v>
      </c>
      <c r="N10" s="2">
        <v>58</v>
      </c>
      <c r="O10" t="str" cm="1">
        <f t="array" ref="O10">_xlfn.IFS(
  AND(BikePurchase[[#This Row],[Age]]&gt;=18, BikePurchase[[#This Row],[Age]]&lt;=30), "Adolescent",
  AND(BikePurchase[[#This Row],[Age]]&gt;30, BikePurchase[[#This Row],[Age]]&lt;55), "Middle Aged",
  AND(BikePurchase[[#This Row],[Age]]&gt;=55, BikePurchase[[#This Row],[Age]]&lt;90), "Old",
  TRUE, "Invalid"
)</f>
        <v>Old</v>
      </c>
      <c r="P10" t="s">
        <v>15</v>
      </c>
      <c r="Q10" t="str">
        <f>IF(BikePurchase[[#This Row],[Purchased BikeX]]="No","Not Purchased","Purchased")</f>
        <v>Not Purchased</v>
      </c>
    </row>
    <row r="11" spans="1:17" x14ac:dyDescent="0.3">
      <c r="A11">
        <v>19280</v>
      </c>
      <c r="B11" t="s">
        <v>30</v>
      </c>
      <c r="C11" t="str">
        <f t="shared" si="0"/>
        <v>Married</v>
      </c>
      <c r="D11" t="s">
        <v>30</v>
      </c>
      <c r="E11" t="str">
        <f t="shared" si="1"/>
        <v>Male</v>
      </c>
      <c r="F11" s="2">
        <v>120000</v>
      </c>
      <c r="G11">
        <v>2</v>
      </c>
      <c r="H11" t="s">
        <v>16</v>
      </c>
      <c r="I11" t="s">
        <v>22</v>
      </c>
      <c r="J11" t="s">
        <v>13</v>
      </c>
      <c r="K11">
        <v>1</v>
      </c>
      <c r="L11" t="s">
        <v>35</v>
      </c>
      <c r="M11" t="s">
        <v>14</v>
      </c>
      <c r="N11" s="2">
        <v>40</v>
      </c>
      <c r="O11" t="str" cm="1">
        <f t="array" ref="O11">_xlfn.IFS(
  AND(BikePurchase[[#This Row],[Age]]&gt;=18, BikePurchase[[#This Row],[Age]]&lt;=30), "Adolescent",
  AND(BikePurchase[[#This Row],[Age]]&gt;30, BikePurchase[[#This Row],[Age]]&lt;55), "Middle Aged",
  AND(BikePurchase[[#This Row],[Age]]&gt;=55, BikePurchase[[#This Row],[Age]]&lt;90), "Old",
  TRUE, "Invalid"
)</f>
        <v>Middle Aged</v>
      </c>
      <c r="P11" t="s">
        <v>13</v>
      </c>
      <c r="Q11" t="str">
        <f>IF(BikePurchase[[#This Row],[Purchased BikeX]]="No","Not Purchased","Purchased")</f>
        <v>Purchased</v>
      </c>
    </row>
    <row r="12" spans="1:17" x14ac:dyDescent="0.3">
      <c r="A12">
        <v>22173</v>
      </c>
      <c r="B12" t="s">
        <v>30</v>
      </c>
      <c r="C12" t="str">
        <f t="shared" si="0"/>
        <v>Married</v>
      </c>
      <c r="D12" t="s">
        <v>29</v>
      </c>
      <c r="E12" t="str">
        <f t="shared" si="1"/>
        <v>Female</v>
      </c>
      <c r="F12" s="2">
        <v>30000</v>
      </c>
      <c r="G12">
        <v>3</v>
      </c>
      <c r="H12" t="s">
        <v>24</v>
      </c>
      <c r="I12" t="s">
        <v>12</v>
      </c>
      <c r="J12" t="s">
        <v>15</v>
      </c>
      <c r="K12">
        <v>2</v>
      </c>
      <c r="L12" t="s">
        <v>23</v>
      </c>
      <c r="M12" t="s">
        <v>21</v>
      </c>
      <c r="N12" s="2">
        <v>54</v>
      </c>
      <c r="O12" t="str" cm="1">
        <f t="array" ref="O12">_xlfn.IFS(
  AND(BikePurchase[[#This Row],[Age]]&gt;=18, BikePurchase[[#This Row],[Age]]&lt;=30), "Adolescent",
  AND(BikePurchase[[#This Row],[Age]]&gt;30, BikePurchase[[#This Row],[Age]]&lt;55), "Middle Aged",
  AND(BikePurchase[[#This Row],[Age]]&gt;=55, BikePurchase[[#This Row],[Age]]&lt;90), "Old",
  TRUE, "Invalid"
)</f>
        <v>Middle Aged</v>
      </c>
      <c r="P12" t="s">
        <v>13</v>
      </c>
      <c r="Q12" t="str">
        <f>IF(BikePurchase[[#This Row],[Purchased BikeX]]="No","Not Purchased","Purchased")</f>
        <v>Purchased</v>
      </c>
    </row>
    <row r="13" spans="1:17" x14ac:dyDescent="0.3">
      <c r="A13">
        <v>12697</v>
      </c>
      <c r="B13" t="s">
        <v>31</v>
      </c>
      <c r="C13" t="str">
        <f t="shared" si="0"/>
        <v>Single</v>
      </c>
      <c r="D13" t="s">
        <v>29</v>
      </c>
      <c r="E13" t="str">
        <f t="shared" si="1"/>
        <v>Female</v>
      </c>
      <c r="F13" s="2">
        <v>90000</v>
      </c>
      <c r="G13">
        <v>0</v>
      </c>
      <c r="H13" t="s">
        <v>11</v>
      </c>
      <c r="I13" t="s">
        <v>18</v>
      </c>
      <c r="J13" t="s">
        <v>15</v>
      </c>
      <c r="K13">
        <v>4</v>
      </c>
      <c r="L13" t="s">
        <v>48</v>
      </c>
      <c r="M13" t="s">
        <v>21</v>
      </c>
      <c r="N13" s="2">
        <v>36</v>
      </c>
      <c r="O13" t="str" cm="1">
        <f t="array" ref="O13">_xlfn.IFS(
  AND(BikePurchase[[#This Row],[Age]]&gt;=18, BikePurchase[[#This Row],[Age]]&lt;=30), "Adolescent",
  AND(BikePurchase[[#This Row],[Age]]&gt;30, BikePurchase[[#This Row],[Age]]&lt;55), "Middle Aged",
  AND(BikePurchase[[#This Row],[Age]]&gt;=55, BikePurchase[[#This Row],[Age]]&lt;90), "Old",
  TRUE, "Invalid"
)</f>
        <v>Middle Aged</v>
      </c>
      <c r="P13" t="s">
        <v>15</v>
      </c>
      <c r="Q13" t="str">
        <f>IF(BikePurchase[[#This Row],[Purchased BikeX]]="No","Not Purchased","Purchased")</f>
        <v>Not Purchased</v>
      </c>
    </row>
    <row r="14" spans="1:17" x14ac:dyDescent="0.3">
      <c r="A14">
        <v>11434</v>
      </c>
      <c r="B14" t="s">
        <v>30</v>
      </c>
      <c r="C14" t="str">
        <f t="shared" si="0"/>
        <v>Married</v>
      </c>
      <c r="D14" t="s">
        <v>30</v>
      </c>
      <c r="E14" t="str">
        <f t="shared" si="1"/>
        <v>Male</v>
      </c>
      <c r="F14" s="2">
        <v>170000</v>
      </c>
      <c r="G14">
        <v>5</v>
      </c>
      <c r="H14" t="s">
        <v>16</v>
      </c>
      <c r="I14" t="s">
        <v>18</v>
      </c>
      <c r="J14" t="s">
        <v>13</v>
      </c>
      <c r="K14">
        <v>0</v>
      </c>
      <c r="L14" t="s">
        <v>35</v>
      </c>
      <c r="M14" t="s">
        <v>14</v>
      </c>
      <c r="N14" s="2">
        <v>55</v>
      </c>
      <c r="O14" t="str" cm="1">
        <f t="array" ref="O14">_xlfn.IFS(
  AND(BikePurchase[[#This Row],[Age]]&gt;=18, BikePurchase[[#This Row],[Age]]&lt;=30), "Adolescent",
  AND(BikePurchase[[#This Row],[Age]]&gt;30, BikePurchase[[#This Row],[Age]]&lt;55), "Middle Aged",
  AND(BikePurchase[[#This Row],[Age]]&gt;=55, BikePurchase[[#This Row],[Age]]&lt;90), "Old",
  TRUE, "Invalid"
)</f>
        <v>Old</v>
      </c>
      <c r="P14" t="s">
        <v>15</v>
      </c>
      <c r="Q14" t="str">
        <f>IF(BikePurchase[[#This Row],[Purchased BikeX]]="No","Not Purchased","Purchased")</f>
        <v>Not Purchased</v>
      </c>
    </row>
    <row r="15" spans="1:17" x14ac:dyDescent="0.3">
      <c r="A15">
        <v>25323</v>
      </c>
      <c r="B15" t="s">
        <v>30</v>
      </c>
      <c r="C15" t="str">
        <f t="shared" si="0"/>
        <v>Married</v>
      </c>
      <c r="D15" t="s">
        <v>30</v>
      </c>
      <c r="E15" t="str">
        <f t="shared" si="1"/>
        <v>Male</v>
      </c>
      <c r="F15" s="2">
        <v>40000</v>
      </c>
      <c r="G15">
        <v>2</v>
      </c>
      <c r="H15" t="s">
        <v>16</v>
      </c>
      <c r="I15" t="s">
        <v>17</v>
      </c>
      <c r="J15" t="s">
        <v>13</v>
      </c>
      <c r="K15">
        <v>1</v>
      </c>
      <c r="L15" t="s">
        <v>23</v>
      </c>
      <c r="M15" t="s">
        <v>14</v>
      </c>
      <c r="N15" s="2">
        <v>35</v>
      </c>
      <c r="O15" t="str" cm="1">
        <f t="array" ref="O15">_xlfn.IFS(
  AND(BikePurchase[[#This Row],[Age]]&gt;=18, BikePurchase[[#This Row],[Age]]&lt;=30), "Adolescent",
  AND(BikePurchase[[#This Row],[Age]]&gt;30, BikePurchase[[#This Row],[Age]]&lt;55), "Middle Aged",
  AND(BikePurchase[[#This Row],[Age]]&gt;=55, BikePurchase[[#This Row],[Age]]&lt;90), "Old",
  TRUE, "Invalid"
)</f>
        <v>Middle Aged</v>
      </c>
      <c r="P15" t="s">
        <v>13</v>
      </c>
      <c r="Q15" t="str">
        <f>IF(BikePurchase[[#This Row],[Purchased BikeX]]="No","Not Purchased","Purchased")</f>
        <v>Purchased</v>
      </c>
    </row>
    <row r="16" spans="1:17" x14ac:dyDescent="0.3">
      <c r="A16">
        <v>23542</v>
      </c>
      <c r="B16" t="s">
        <v>31</v>
      </c>
      <c r="C16" t="str">
        <f t="shared" si="0"/>
        <v>Single</v>
      </c>
      <c r="D16" t="s">
        <v>30</v>
      </c>
      <c r="E16" t="str">
        <f t="shared" si="1"/>
        <v>Male</v>
      </c>
      <c r="F16" s="2">
        <v>60000</v>
      </c>
      <c r="G16">
        <v>1</v>
      </c>
      <c r="H16" t="s">
        <v>16</v>
      </c>
      <c r="I16" t="s">
        <v>12</v>
      </c>
      <c r="J16" t="s">
        <v>15</v>
      </c>
      <c r="K16">
        <v>1</v>
      </c>
      <c r="L16" t="s">
        <v>35</v>
      </c>
      <c r="M16" t="s">
        <v>21</v>
      </c>
      <c r="N16" s="2">
        <v>45</v>
      </c>
      <c r="O16" t="str" cm="1">
        <f t="array" ref="O16">_xlfn.IFS(
  AND(BikePurchase[[#This Row],[Age]]&gt;=18, BikePurchase[[#This Row],[Age]]&lt;=30), "Adolescent",
  AND(BikePurchase[[#This Row],[Age]]&gt;30, BikePurchase[[#This Row],[Age]]&lt;55), "Middle Aged",
  AND(BikePurchase[[#This Row],[Age]]&gt;=55, BikePurchase[[#This Row],[Age]]&lt;90), "Old",
  TRUE, "Invalid"
)</f>
        <v>Middle Aged</v>
      </c>
      <c r="P16" t="s">
        <v>13</v>
      </c>
      <c r="Q16" t="str">
        <f>IF(BikePurchase[[#This Row],[Purchased BikeX]]="No","Not Purchased","Purchased")</f>
        <v>Purchased</v>
      </c>
    </row>
    <row r="17" spans="1:17" x14ac:dyDescent="0.3">
      <c r="A17">
        <v>20870</v>
      </c>
      <c r="B17" t="s">
        <v>31</v>
      </c>
      <c r="C17" t="str">
        <f t="shared" si="0"/>
        <v>Single</v>
      </c>
      <c r="D17" t="s">
        <v>29</v>
      </c>
      <c r="E17" t="str">
        <f t="shared" si="1"/>
        <v>Female</v>
      </c>
      <c r="F17" s="2">
        <v>10000</v>
      </c>
      <c r="G17">
        <v>2</v>
      </c>
      <c r="H17" t="s">
        <v>24</v>
      </c>
      <c r="I17" t="s">
        <v>22</v>
      </c>
      <c r="J17" t="s">
        <v>13</v>
      </c>
      <c r="K17">
        <v>1</v>
      </c>
      <c r="L17" t="s">
        <v>35</v>
      </c>
      <c r="M17" t="s">
        <v>14</v>
      </c>
      <c r="N17" s="2">
        <v>38</v>
      </c>
      <c r="O17" t="str" cm="1">
        <f t="array" ref="O17">_xlfn.IFS(
  AND(BikePurchase[[#This Row],[Age]]&gt;=18, BikePurchase[[#This Row],[Age]]&lt;=30), "Adolescent",
  AND(BikePurchase[[#This Row],[Age]]&gt;30, BikePurchase[[#This Row],[Age]]&lt;55), "Middle Aged",
  AND(BikePurchase[[#This Row],[Age]]&gt;=55, BikePurchase[[#This Row],[Age]]&lt;90), "Old",
  TRUE, "Invalid"
)</f>
        <v>Middle Aged</v>
      </c>
      <c r="P17" t="s">
        <v>13</v>
      </c>
      <c r="Q17" t="str">
        <f>IF(BikePurchase[[#This Row],[Purchased BikeX]]="No","Not Purchased","Purchased")</f>
        <v>Purchased</v>
      </c>
    </row>
    <row r="18" spans="1:17" x14ac:dyDescent="0.3">
      <c r="A18">
        <v>23316</v>
      </c>
      <c r="B18" t="s">
        <v>31</v>
      </c>
      <c r="C18" t="str">
        <f t="shared" si="0"/>
        <v>Single</v>
      </c>
      <c r="D18" t="s">
        <v>30</v>
      </c>
      <c r="E18" t="str">
        <f t="shared" si="1"/>
        <v>Male</v>
      </c>
      <c r="F18" s="2">
        <v>30000</v>
      </c>
      <c r="G18">
        <v>3</v>
      </c>
      <c r="H18" t="s">
        <v>16</v>
      </c>
      <c r="I18" t="s">
        <v>17</v>
      </c>
      <c r="J18" t="s">
        <v>15</v>
      </c>
      <c r="K18">
        <v>2</v>
      </c>
      <c r="L18" t="s">
        <v>23</v>
      </c>
      <c r="M18" t="s">
        <v>21</v>
      </c>
      <c r="N18" s="2">
        <v>59</v>
      </c>
      <c r="O18" t="str" cm="1">
        <f t="array" ref="O18">_xlfn.IFS(
  AND(BikePurchase[[#This Row],[Age]]&gt;=18, BikePurchase[[#This Row],[Age]]&lt;=30), "Adolescent",
  AND(BikePurchase[[#This Row],[Age]]&gt;30, BikePurchase[[#This Row],[Age]]&lt;55), "Middle Aged",
  AND(BikePurchase[[#This Row],[Age]]&gt;=55, BikePurchase[[#This Row],[Age]]&lt;90), "Old",
  TRUE, "Invalid"
)</f>
        <v>Old</v>
      </c>
      <c r="P18" t="s">
        <v>13</v>
      </c>
      <c r="Q18" t="str">
        <f>IF(BikePurchase[[#This Row],[Purchased BikeX]]="No","Not Purchased","Purchased")</f>
        <v>Purchased</v>
      </c>
    </row>
    <row r="19" spans="1:17" x14ac:dyDescent="0.3">
      <c r="A19">
        <v>12610</v>
      </c>
      <c r="B19" t="s">
        <v>30</v>
      </c>
      <c r="C19" t="str">
        <f t="shared" si="0"/>
        <v>Married</v>
      </c>
      <c r="D19" t="s">
        <v>29</v>
      </c>
      <c r="E19" t="str">
        <f t="shared" si="1"/>
        <v>Female</v>
      </c>
      <c r="F19" s="2">
        <v>30000</v>
      </c>
      <c r="G19">
        <v>1</v>
      </c>
      <c r="H19" t="s">
        <v>11</v>
      </c>
      <c r="I19" t="s">
        <v>17</v>
      </c>
      <c r="J19" t="s">
        <v>13</v>
      </c>
      <c r="K19">
        <v>0</v>
      </c>
      <c r="L19" t="s">
        <v>35</v>
      </c>
      <c r="M19" t="s">
        <v>14</v>
      </c>
      <c r="N19" s="2">
        <v>47</v>
      </c>
      <c r="O19" t="str" cm="1">
        <f t="array" ref="O19">_xlfn.IFS(
  AND(BikePurchase[[#This Row],[Age]]&gt;=18, BikePurchase[[#This Row],[Age]]&lt;=30), "Adolescent",
  AND(BikePurchase[[#This Row],[Age]]&gt;30, BikePurchase[[#This Row],[Age]]&lt;55), "Middle Aged",
  AND(BikePurchase[[#This Row],[Age]]&gt;=55, BikePurchase[[#This Row],[Age]]&lt;90), "Old",
  TRUE, "Invalid"
)</f>
        <v>Middle Aged</v>
      </c>
      <c r="P19" t="s">
        <v>15</v>
      </c>
      <c r="Q19" t="str">
        <f>IF(BikePurchase[[#This Row],[Purchased BikeX]]="No","Not Purchased","Purchased")</f>
        <v>Not Purchased</v>
      </c>
    </row>
    <row r="20" spans="1:17" x14ac:dyDescent="0.3">
      <c r="A20">
        <v>27183</v>
      </c>
      <c r="B20" t="s">
        <v>31</v>
      </c>
      <c r="C20" t="str">
        <f t="shared" si="0"/>
        <v>Single</v>
      </c>
      <c r="D20" t="s">
        <v>30</v>
      </c>
      <c r="E20" t="str">
        <f t="shared" si="1"/>
        <v>Male</v>
      </c>
      <c r="F20" s="2">
        <v>40000</v>
      </c>
      <c r="G20">
        <v>2</v>
      </c>
      <c r="H20" t="s">
        <v>16</v>
      </c>
      <c r="I20" t="s">
        <v>17</v>
      </c>
      <c r="J20" t="s">
        <v>13</v>
      </c>
      <c r="K20">
        <v>1</v>
      </c>
      <c r="L20" t="s">
        <v>23</v>
      </c>
      <c r="M20" t="s">
        <v>14</v>
      </c>
      <c r="N20" s="2">
        <v>35</v>
      </c>
      <c r="O20" t="str" cm="1">
        <f t="array" ref="O20">_xlfn.IFS(
  AND(BikePurchase[[#This Row],[Age]]&gt;=18, BikePurchase[[#This Row],[Age]]&lt;=30), "Adolescent",
  AND(BikePurchase[[#This Row],[Age]]&gt;30, BikePurchase[[#This Row],[Age]]&lt;55), "Middle Aged",
  AND(BikePurchase[[#This Row],[Age]]&gt;=55, BikePurchase[[#This Row],[Age]]&lt;90), "Old",
  TRUE, "Invalid"
)</f>
        <v>Middle Aged</v>
      </c>
      <c r="P20" t="s">
        <v>13</v>
      </c>
      <c r="Q20" t="str">
        <f>IF(BikePurchase[[#This Row],[Purchased BikeX]]="No","Not Purchased","Purchased")</f>
        <v>Purchased</v>
      </c>
    </row>
    <row r="21" spans="1:17" x14ac:dyDescent="0.3">
      <c r="A21">
        <v>25940</v>
      </c>
      <c r="B21" t="s">
        <v>31</v>
      </c>
      <c r="C21" t="str">
        <f t="shared" si="0"/>
        <v>Single</v>
      </c>
      <c r="D21" t="s">
        <v>30</v>
      </c>
      <c r="E21" t="str">
        <f t="shared" si="1"/>
        <v>Male</v>
      </c>
      <c r="F21" s="2">
        <v>20000</v>
      </c>
      <c r="G21">
        <v>2</v>
      </c>
      <c r="H21" t="s">
        <v>26</v>
      </c>
      <c r="I21" t="s">
        <v>17</v>
      </c>
      <c r="J21" t="s">
        <v>13</v>
      </c>
      <c r="K21">
        <v>2</v>
      </c>
      <c r="L21" t="s">
        <v>20</v>
      </c>
      <c r="M21" t="s">
        <v>21</v>
      </c>
      <c r="N21" s="2">
        <v>55</v>
      </c>
      <c r="O21" t="str" cm="1">
        <f t="array" ref="O21">_xlfn.IFS(
  AND(BikePurchase[[#This Row],[Age]]&gt;=18, BikePurchase[[#This Row],[Age]]&lt;=30), "Adolescent",
  AND(BikePurchase[[#This Row],[Age]]&gt;30, BikePurchase[[#This Row],[Age]]&lt;55), "Middle Aged",
  AND(BikePurchase[[#This Row],[Age]]&gt;=55, BikePurchase[[#This Row],[Age]]&lt;90), "Old",
  TRUE, "Invalid"
)</f>
        <v>Old</v>
      </c>
      <c r="P21" t="s">
        <v>13</v>
      </c>
      <c r="Q21" t="str">
        <f>IF(BikePurchase[[#This Row],[Purchased BikeX]]="No","Not Purchased","Purchased")</f>
        <v>Purchased</v>
      </c>
    </row>
    <row r="22" spans="1:17" x14ac:dyDescent="0.3">
      <c r="A22">
        <v>25598</v>
      </c>
      <c r="B22" t="s">
        <v>30</v>
      </c>
      <c r="C22" t="str">
        <f t="shared" si="0"/>
        <v>Married</v>
      </c>
      <c r="D22" t="s">
        <v>29</v>
      </c>
      <c r="E22" t="str">
        <f t="shared" si="1"/>
        <v>Female</v>
      </c>
      <c r="F22" s="2">
        <v>40000</v>
      </c>
      <c r="G22">
        <v>0</v>
      </c>
      <c r="H22" t="s">
        <v>27</v>
      </c>
      <c r="I22" t="s">
        <v>17</v>
      </c>
      <c r="J22" t="s">
        <v>13</v>
      </c>
      <c r="K22">
        <v>0</v>
      </c>
      <c r="L22" t="s">
        <v>35</v>
      </c>
      <c r="M22" t="s">
        <v>14</v>
      </c>
      <c r="N22" s="2">
        <v>36</v>
      </c>
      <c r="O22" t="str" cm="1">
        <f t="array" ref="O22">_xlfn.IFS(
  AND(BikePurchase[[#This Row],[Age]]&gt;=18, BikePurchase[[#This Row],[Age]]&lt;=30), "Adolescent",
  AND(BikePurchase[[#This Row],[Age]]&gt;30, BikePurchase[[#This Row],[Age]]&lt;55), "Middle Aged",
  AND(BikePurchase[[#This Row],[Age]]&gt;=55, BikePurchase[[#This Row],[Age]]&lt;90), "Old",
  TRUE, "Invalid"
)</f>
        <v>Middle Aged</v>
      </c>
      <c r="P22" t="s">
        <v>13</v>
      </c>
      <c r="Q22" t="str">
        <f>IF(BikePurchase[[#This Row],[Purchased BikeX]]="No","Not Purchased","Purchased")</f>
        <v>Purchased</v>
      </c>
    </row>
    <row r="23" spans="1:17" x14ac:dyDescent="0.3">
      <c r="A23">
        <v>21564</v>
      </c>
      <c r="B23" t="s">
        <v>31</v>
      </c>
      <c r="C23" t="str">
        <f t="shared" si="0"/>
        <v>Single</v>
      </c>
      <c r="D23" t="s">
        <v>29</v>
      </c>
      <c r="E23" t="str">
        <f t="shared" si="1"/>
        <v>Female</v>
      </c>
      <c r="F23" s="2">
        <v>80000</v>
      </c>
      <c r="G23">
        <v>0</v>
      </c>
      <c r="H23" t="s">
        <v>11</v>
      </c>
      <c r="I23" t="s">
        <v>18</v>
      </c>
      <c r="J23" t="s">
        <v>13</v>
      </c>
      <c r="K23">
        <v>4</v>
      </c>
      <c r="L23" t="s">
        <v>48</v>
      </c>
      <c r="M23" t="s">
        <v>21</v>
      </c>
      <c r="N23" s="2">
        <v>35</v>
      </c>
      <c r="O23" t="str" cm="1">
        <f t="array" ref="O23">_xlfn.IFS(
  AND(BikePurchase[[#This Row],[Age]]&gt;=18, BikePurchase[[#This Row],[Age]]&lt;=30), "Adolescent",
  AND(BikePurchase[[#This Row],[Age]]&gt;30, BikePurchase[[#This Row],[Age]]&lt;55), "Middle Aged",
  AND(BikePurchase[[#This Row],[Age]]&gt;=55, BikePurchase[[#This Row],[Age]]&lt;90), "Old",
  TRUE, "Invalid"
)</f>
        <v>Middle Aged</v>
      </c>
      <c r="P23" t="s">
        <v>15</v>
      </c>
      <c r="Q23" t="str">
        <f>IF(BikePurchase[[#This Row],[Purchased BikeX]]="No","Not Purchased","Purchased")</f>
        <v>Not Purchased</v>
      </c>
    </row>
    <row r="24" spans="1:17" x14ac:dyDescent="0.3">
      <c r="A24">
        <v>19193</v>
      </c>
      <c r="B24" t="s">
        <v>31</v>
      </c>
      <c r="C24" t="str">
        <f t="shared" si="0"/>
        <v>Single</v>
      </c>
      <c r="D24" t="s">
        <v>30</v>
      </c>
      <c r="E24" t="str">
        <f t="shared" si="1"/>
        <v>Male</v>
      </c>
      <c r="F24" s="2">
        <v>40000</v>
      </c>
      <c r="G24">
        <v>2</v>
      </c>
      <c r="H24" t="s">
        <v>16</v>
      </c>
      <c r="I24" t="s">
        <v>17</v>
      </c>
      <c r="J24" t="s">
        <v>13</v>
      </c>
      <c r="K24">
        <v>0</v>
      </c>
      <c r="L24" t="s">
        <v>23</v>
      </c>
      <c r="M24" t="s">
        <v>14</v>
      </c>
      <c r="N24" s="2">
        <v>35</v>
      </c>
      <c r="O24" t="str" cm="1">
        <f t="array" ref="O24">_xlfn.IFS(
  AND(BikePurchase[[#This Row],[Age]]&gt;=18, BikePurchase[[#This Row],[Age]]&lt;=30), "Adolescent",
  AND(BikePurchase[[#This Row],[Age]]&gt;30, BikePurchase[[#This Row],[Age]]&lt;55), "Middle Aged",
  AND(BikePurchase[[#This Row],[Age]]&gt;=55, BikePurchase[[#This Row],[Age]]&lt;90), "Old",
  TRUE, "Invalid"
)</f>
        <v>Middle Aged</v>
      </c>
      <c r="P24" t="s">
        <v>13</v>
      </c>
      <c r="Q24" t="str">
        <f>IF(BikePurchase[[#This Row],[Purchased BikeX]]="No","Not Purchased","Purchased")</f>
        <v>Purchased</v>
      </c>
    </row>
    <row r="25" spans="1:17" x14ac:dyDescent="0.3">
      <c r="A25">
        <v>26412</v>
      </c>
      <c r="B25" t="s">
        <v>30</v>
      </c>
      <c r="C25" t="str">
        <f t="shared" si="0"/>
        <v>Married</v>
      </c>
      <c r="D25" t="s">
        <v>29</v>
      </c>
      <c r="E25" t="str">
        <f t="shared" si="1"/>
        <v>Female</v>
      </c>
      <c r="F25" s="2">
        <v>80000</v>
      </c>
      <c r="G25">
        <v>5</v>
      </c>
      <c r="H25" t="s">
        <v>24</v>
      </c>
      <c r="I25" t="s">
        <v>25</v>
      </c>
      <c r="J25" t="s">
        <v>15</v>
      </c>
      <c r="K25">
        <v>3</v>
      </c>
      <c r="L25" t="s">
        <v>20</v>
      </c>
      <c r="M25" t="s">
        <v>14</v>
      </c>
      <c r="N25" s="2">
        <v>56</v>
      </c>
      <c r="O25" t="str" cm="1">
        <f t="array" ref="O25">_xlfn.IFS(
  AND(BikePurchase[[#This Row],[Age]]&gt;=18, BikePurchase[[#This Row],[Age]]&lt;=30), "Adolescent",
  AND(BikePurchase[[#This Row],[Age]]&gt;30, BikePurchase[[#This Row],[Age]]&lt;55), "Middle Aged",
  AND(BikePurchase[[#This Row],[Age]]&gt;=55, BikePurchase[[#This Row],[Age]]&lt;90), "Old",
  TRUE, "Invalid"
)</f>
        <v>Old</v>
      </c>
      <c r="P25" t="s">
        <v>15</v>
      </c>
      <c r="Q25" t="str">
        <f>IF(BikePurchase[[#This Row],[Purchased BikeX]]="No","Not Purchased","Purchased")</f>
        <v>Not Purchased</v>
      </c>
    </row>
    <row r="26" spans="1:17" x14ac:dyDescent="0.3">
      <c r="A26">
        <v>27184</v>
      </c>
      <c r="B26" t="s">
        <v>31</v>
      </c>
      <c r="C26" t="str">
        <f t="shared" si="0"/>
        <v>Single</v>
      </c>
      <c r="D26" t="s">
        <v>30</v>
      </c>
      <c r="E26" t="str">
        <f t="shared" si="1"/>
        <v>Male</v>
      </c>
      <c r="F26" s="2">
        <v>40000</v>
      </c>
      <c r="G26">
        <v>2</v>
      </c>
      <c r="H26" t="s">
        <v>16</v>
      </c>
      <c r="I26" t="s">
        <v>17</v>
      </c>
      <c r="J26" t="s">
        <v>15</v>
      </c>
      <c r="K26">
        <v>1</v>
      </c>
      <c r="L26" t="s">
        <v>35</v>
      </c>
      <c r="M26" t="s">
        <v>14</v>
      </c>
      <c r="N26" s="2">
        <v>34</v>
      </c>
      <c r="O26" t="str" cm="1">
        <f t="array" ref="O26">_xlfn.IFS(
  AND(BikePurchase[[#This Row],[Age]]&gt;=18, BikePurchase[[#This Row],[Age]]&lt;=30), "Adolescent",
  AND(BikePurchase[[#This Row],[Age]]&gt;30, BikePurchase[[#This Row],[Age]]&lt;55), "Middle Aged",
  AND(BikePurchase[[#This Row],[Age]]&gt;=55, BikePurchase[[#This Row],[Age]]&lt;90), "Old",
  TRUE, "Invalid"
)</f>
        <v>Middle Aged</v>
      </c>
      <c r="P26" t="s">
        <v>15</v>
      </c>
      <c r="Q26" t="str">
        <f>IF(BikePurchase[[#This Row],[Purchased BikeX]]="No","Not Purchased","Purchased")</f>
        <v>Not Purchased</v>
      </c>
    </row>
    <row r="27" spans="1:17" x14ac:dyDescent="0.3">
      <c r="A27">
        <v>12590</v>
      </c>
      <c r="B27" t="s">
        <v>31</v>
      </c>
      <c r="C27" t="str">
        <f t="shared" si="0"/>
        <v>Single</v>
      </c>
      <c r="D27" t="s">
        <v>30</v>
      </c>
      <c r="E27" t="str">
        <f t="shared" si="1"/>
        <v>Male</v>
      </c>
      <c r="F27" s="2">
        <v>30000</v>
      </c>
      <c r="G27">
        <v>1</v>
      </c>
      <c r="H27" t="s">
        <v>11</v>
      </c>
      <c r="I27" t="s">
        <v>17</v>
      </c>
      <c r="J27" t="s">
        <v>13</v>
      </c>
      <c r="K27">
        <v>0</v>
      </c>
      <c r="L27" t="s">
        <v>35</v>
      </c>
      <c r="M27" t="s">
        <v>14</v>
      </c>
      <c r="N27" s="2">
        <v>63</v>
      </c>
      <c r="O27" t="str" cm="1">
        <f t="array" ref="O27">_xlfn.IFS(
  AND(BikePurchase[[#This Row],[Age]]&gt;=18, BikePurchase[[#This Row],[Age]]&lt;=30), "Adolescent",
  AND(BikePurchase[[#This Row],[Age]]&gt;30, BikePurchase[[#This Row],[Age]]&lt;55), "Middle Aged",
  AND(BikePurchase[[#This Row],[Age]]&gt;=55, BikePurchase[[#This Row],[Age]]&lt;90), "Old",
  TRUE, "Invalid"
)</f>
        <v>Old</v>
      </c>
      <c r="P27" t="s">
        <v>15</v>
      </c>
      <c r="Q27" t="str">
        <f>IF(BikePurchase[[#This Row],[Purchased BikeX]]="No","Not Purchased","Purchased")</f>
        <v>Not Purchased</v>
      </c>
    </row>
    <row r="28" spans="1:17" x14ac:dyDescent="0.3">
      <c r="A28">
        <v>17841</v>
      </c>
      <c r="B28" t="s">
        <v>31</v>
      </c>
      <c r="C28" t="str">
        <f t="shared" si="0"/>
        <v>Single</v>
      </c>
      <c r="D28" t="s">
        <v>30</v>
      </c>
      <c r="E28" t="str">
        <f t="shared" si="1"/>
        <v>Male</v>
      </c>
      <c r="F28" s="2">
        <v>30000</v>
      </c>
      <c r="G28">
        <v>0</v>
      </c>
      <c r="H28" t="s">
        <v>16</v>
      </c>
      <c r="I28" t="s">
        <v>17</v>
      </c>
      <c r="J28" t="s">
        <v>15</v>
      </c>
      <c r="K28">
        <v>1</v>
      </c>
      <c r="L28" t="s">
        <v>35</v>
      </c>
      <c r="M28" t="s">
        <v>14</v>
      </c>
      <c r="N28" s="2">
        <v>29</v>
      </c>
      <c r="O28" t="str" cm="1">
        <f t="array" ref="O28">_xlfn.IFS(
  AND(BikePurchase[[#This Row],[Age]]&gt;=18, BikePurchase[[#This Row],[Age]]&lt;=30), "Adolescent",
  AND(BikePurchase[[#This Row],[Age]]&gt;30, BikePurchase[[#This Row],[Age]]&lt;55), "Middle Aged",
  AND(BikePurchase[[#This Row],[Age]]&gt;=55, BikePurchase[[#This Row],[Age]]&lt;90), "Old",
  TRUE, "Invalid"
)</f>
        <v>Adolescent</v>
      </c>
      <c r="P28" t="s">
        <v>13</v>
      </c>
      <c r="Q28" t="str">
        <f>IF(BikePurchase[[#This Row],[Purchased BikeX]]="No","Not Purchased","Purchased")</f>
        <v>Purchased</v>
      </c>
    </row>
    <row r="29" spans="1:17" x14ac:dyDescent="0.3">
      <c r="A29">
        <v>18283</v>
      </c>
      <c r="B29" t="s">
        <v>31</v>
      </c>
      <c r="C29" t="str">
        <f t="shared" si="0"/>
        <v>Single</v>
      </c>
      <c r="D29" t="s">
        <v>29</v>
      </c>
      <c r="E29" t="str">
        <f t="shared" si="1"/>
        <v>Female</v>
      </c>
      <c r="F29" s="2">
        <v>100000</v>
      </c>
      <c r="G29">
        <v>0</v>
      </c>
      <c r="H29" t="s">
        <v>11</v>
      </c>
      <c r="I29" t="s">
        <v>18</v>
      </c>
      <c r="J29" t="s">
        <v>15</v>
      </c>
      <c r="K29">
        <v>1</v>
      </c>
      <c r="L29" t="s">
        <v>20</v>
      </c>
      <c r="M29" t="s">
        <v>21</v>
      </c>
      <c r="N29" s="2">
        <v>40</v>
      </c>
      <c r="O29" t="str" cm="1">
        <f t="array" ref="O29">_xlfn.IFS(
  AND(BikePurchase[[#This Row],[Age]]&gt;=18, BikePurchase[[#This Row],[Age]]&lt;=30), "Adolescent",
  AND(BikePurchase[[#This Row],[Age]]&gt;30, BikePurchase[[#This Row],[Age]]&lt;55), "Middle Aged",
  AND(BikePurchase[[#This Row],[Age]]&gt;=55, BikePurchase[[#This Row],[Age]]&lt;90), "Old",
  TRUE, "Invalid"
)</f>
        <v>Middle Aged</v>
      </c>
      <c r="P29" t="s">
        <v>15</v>
      </c>
      <c r="Q29" t="str">
        <f>IF(BikePurchase[[#This Row],[Purchased BikeX]]="No","Not Purchased","Purchased")</f>
        <v>Not Purchased</v>
      </c>
    </row>
    <row r="30" spans="1:17" x14ac:dyDescent="0.3">
      <c r="A30">
        <v>18299</v>
      </c>
      <c r="B30" t="s">
        <v>30</v>
      </c>
      <c r="C30" t="str">
        <f t="shared" si="0"/>
        <v>Married</v>
      </c>
      <c r="D30" t="s">
        <v>30</v>
      </c>
      <c r="E30" t="str">
        <f t="shared" si="1"/>
        <v>Male</v>
      </c>
      <c r="F30" s="2">
        <v>70000</v>
      </c>
      <c r="G30">
        <v>5</v>
      </c>
      <c r="H30" t="s">
        <v>16</v>
      </c>
      <c r="I30" t="s">
        <v>12</v>
      </c>
      <c r="J30" t="s">
        <v>13</v>
      </c>
      <c r="K30">
        <v>2</v>
      </c>
      <c r="L30" t="s">
        <v>20</v>
      </c>
      <c r="M30" t="s">
        <v>21</v>
      </c>
      <c r="N30" s="2">
        <v>44</v>
      </c>
      <c r="O30" t="str" cm="1">
        <f t="array" ref="O30">_xlfn.IFS(
  AND(BikePurchase[[#This Row],[Age]]&gt;=18, BikePurchase[[#This Row],[Age]]&lt;=30), "Adolescent",
  AND(BikePurchase[[#This Row],[Age]]&gt;30, BikePurchase[[#This Row],[Age]]&lt;55), "Middle Aged",
  AND(BikePurchase[[#This Row],[Age]]&gt;=55, BikePurchase[[#This Row],[Age]]&lt;90), "Old",
  TRUE, "Invalid"
)</f>
        <v>Middle Aged</v>
      </c>
      <c r="P30" t="s">
        <v>15</v>
      </c>
      <c r="Q30" t="str">
        <f>IF(BikePurchase[[#This Row],[Purchased BikeX]]="No","Not Purchased","Purchased")</f>
        <v>Not Purchased</v>
      </c>
    </row>
    <row r="31" spans="1:17" x14ac:dyDescent="0.3">
      <c r="A31">
        <v>16466</v>
      </c>
      <c r="B31" t="s">
        <v>31</v>
      </c>
      <c r="C31" t="str">
        <f t="shared" si="0"/>
        <v>Single</v>
      </c>
      <c r="D31" t="s">
        <v>29</v>
      </c>
      <c r="E31" t="str">
        <f t="shared" si="1"/>
        <v>Female</v>
      </c>
      <c r="F31" s="2">
        <v>20000</v>
      </c>
      <c r="G31">
        <v>0</v>
      </c>
      <c r="H31" t="s">
        <v>26</v>
      </c>
      <c r="I31" t="s">
        <v>22</v>
      </c>
      <c r="J31" t="s">
        <v>15</v>
      </c>
      <c r="K31">
        <v>2</v>
      </c>
      <c r="L31" t="s">
        <v>35</v>
      </c>
      <c r="M31" t="s">
        <v>14</v>
      </c>
      <c r="N31" s="2">
        <v>32</v>
      </c>
      <c r="O31" t="str" cm="1">
        <f t="array" ref="O31">_xlfn.IFS(
  AND(BikePurchase[[#This Row],[Age]]&gt;=18, BikePurchase[[#This Row],[Age]]&lt;=30), "Adolescent",
  AND(BikePurchase[[#This Row],[Age]]&gt;30, BikePurchase[[#This Row],[Age]]&lt;55), "Middle Aged",
  AND(BikePurchase[[#This Row],[Age]]&gt;=55, BikePurchase[[#This Row],[Age]]&lt;90), "Old",
  TRUE, "Invalid"
)</f>
        <v>Middle Aged</v>
      </c>
      <c r="P31" t="s">
        <v>13</v>
      </c>
      <c r="Q31" t="str">
        <f>IF(BikePurchase[[#This Row],[Purchased BikeX]]="No","Not Purchased","Purchased")</f>
        <v>Purchased</v>
      </c>
    </row>
    <row r="32" spans="1:17" x14ac:dyDescent="0.3">
      <c r="A32">
        <v>19273</v>
      </c>
      <c r="B32" t="s">
        <v>30</v>
      </c>
      <c r="C32" t="str">
        <f t="shared" si="0"/>
        <v>Married</v>
      </c>
      <c r="D32" t="s">
        <v>29</v>
      </c>
      <c r="E32" t="str">
        <f t="shared" si="1"/>
        <v>Female</v>
      </c>
      <c r="F32" s="2">
        <v>20000</v>
      </c>
      <c r="G32">
        <v>2</v>
      </c>
      <c r="H32" t="s">
        <v>16</v>
      </c>
      <c r="I32" t="s">
        <v>22</v>
      </c>
      <c r="J32" t="s">
        <v>13</v>
      </c>
      <c r="K32">
        <v>0</v>
      </c>
      <c r="L32" t="s">
        <v>35</v>
      </c>
      <c r="M32" t="s">
        <v>14</v>
      </c>
      <c r="N32" s="2">
        <v>63</v>
      </c>
      <c r="O32" t="str" cm="1">
        <f t="array" ref="O32">_xlfn.IFS(
  AND(BikePurchase[[#This Row],[Age]]&gt;=18, BikePurchase[[#This Row],[Age]]&lt;=30), "Adolescent",
  AND(BikePurchase[[#This Row],[Age]]&gt;30, BikePurchase[[#This Row],[Age]]&lt;55), "Middle Aged",
  AND(BikePurchase[[#This Row],[Age]]&gt;=55, BikePurchase[[#This Row],[Age]]&lt;90), "Old",
  TRUE, "Invalid"
)</f>
        <v>Old</v>
      </c>
      <c r="P32" t="s">
        <v>15</v>
      </c>
      <c r="Q32" t="str">
        <f>IF(BikePurchase[[#This Row],[Purchased BikeX]]="No","Not Purchased","Purchased")</f>
        <v>Not Purchased</v>
      </c>
    </row>
    <row r="33" spans="1:17" x14ac:dyDescent="0.3">
      <c r="A33">
        <v>22400</v>
      </c>
      <c r="B33" t="s">
        <v>30</v>
      </c>
      <c r="C33" t="str">
        <f t="shared" si="0"/>
        <v>Married</v>
      </c>
      <c r="D33" t="s">
        <v>30</v>
      </c>
      <c r="E33" t="str">
        <f t="shared" si="1"/>
        <v>Male</v>
      </c>
      <c r="F33" s="2">
        <v>10000</v>
      </c>
      <c r="G33">
        <v>0</v>
      </c>
      <c r="H33" t="s">
        <v>16</v>
      </c>
      <c r="I33" t="s">
        <v>22</v>
      </c>
      <c r="J33" t="s">
        <v>15</v>
      </c>
      <c r="K33">
        <v>1</v>
      </c>
      <c r="L33" t="s">
        <v>35</v>
      </c>
      <c r="M33" t="s">
        <v>21</v>
      </c>
      <c r="N33" s="2">
        <v>26</v>
      </c>
      <c r="O33" t="str" cm="1">
        <f t="array" ref="O33">_xlfn.IFS(
  AND(BikePurchase[[#This Row],[Age]]&gt;=18, BikePurchase[[#This Row],[Age]]&lt;=30), "Adolescent",
  AND(BikePurchase[[#This Row],[Age]]&gt;30, BikePurchase[[#This Row],[Age]]&lt;55), "Middle Aged",
  AND(BikePurchase[[#This Row],[Age]]&gt;=55, BikePurchase[[#This Row],[Age]]&lt;90), "Old",
  TRUE, "Invalid"
)</f>
        <v>Adolescent</v>
      </c>
      <c r="P33" t="s">
        <v>13</v>
      </c>
      <c r="Q33" t="str">
        <f>IF(BikePurchase[[#This Row],[Purchased BikeX]]="No","Not Purchased","Purchased")</f>
        <v>Purchased</v>
      </c>
    </row>
    <row r="34" spans="1:17" x14ac:dyDescent="0.3">
      <c r="A34">
        <v>20942</v>
      </c>
      <c r="B34" t="s">
        <v>31</v>
      </c>
      <c r="C34" t="str">
        <f t="shared" si="0"/>
        <v>Single</v>
      </c>
      <c r="D34" t="s">
        <v>29</v>
      </c>
      <c r="E34" t="str">
        <f t="shared" si="1"/>
        <v>Female</v>
      </c>
      <c r="F34" s="2">
        <v>20000</v>
      </c>
      <c r="G34">
        <v>0</v>
      </c>
      <c r="H34" t="s">
        <v>24</v>
      </c>
      <c r="I34" t="s">
        <v>22</v>
      </c>
      <c r="J34" t="s">
        <v>15</v>
      </c>
      <c r="K34">
        <v>1</v>
      </c>
      <c r="L34" t="s">
        <v>20</v>
      </c>
      <c r="M34" t="s">
        <v>14</v>
      </c>
      <c r="N34" s="2">
        <v>31</v>
      </c>
      <c r="O34" t="str" cm="1">
        <f t="array" ref="O34">_xlfn.IFS(
  AND(BikePurchase[[#This Row],[Age]]&gt;=18, BikePurchase[[#This Row],[Age]]&lt;=30), "Adolescent",
  AND(BikePurchase[[#This Row],[Age]]&gt;30, BikePurchase[[#This Row],[Age]]&lt;55), "Middle Aged",
  AND(BikePurchase[[#This Row],[Age]]&gt;=55, BikePurchase[[#This Row],[Age]]&lt;90), "Old",
  TRUE, "Invalid"
)</f>
        <v>Middle Aged</v>
      </c>
      <c r="P34" t="s">
        <v>15</v>
      </c>
      <c r="Q34" t="str">
        <f>IF(BikePurchase[[#This Row],[Purchased BikeX]]="No","Not Purchased","Purchased")</f>
        <v>Not Purchased</v>
      </c>
    </row>
    <row r="35" spans="1:17" x14ac:dyDescent="0.3">
      <c r="A35">
        <v>18484</v>
      </c>
      <c r="B35" t="s">
        <v>31</v>
      </c>
      <c r="C35" t="str">
        <f t="shared" si="0"/>
        <v>Single</v>
      </c>
      <c r="D35" t="s">
        <v>30</v>
      </c>
      <c r="E35" t="str">
        <f t="shared" si="1"/>
        <v>Male</v>
      </c>
      <c r="F35" s="2">
        <v>80000</v>
      </c>
      <c r="G35">
        <v>2</v>
      </c>
      <c r="H35" t="s">
        <v>24</v>
      </c>
      <c r="I35" t="s">
        <v>12</v>
      </c>
      <c r="J35" t="s">
        <v>15</v>
      </c>
      <c r="K35">
        <v>2</v>
      </c>
      <c r="L35" t="s">
        <v>23</v>
      </c>
      <c r="M35" t="s">
        <v>21</v>
      </c>
      <c r="N35" s="2">
        <v>50</v>
      </c>
      <c r="O35" t="str" cm="1">
        <f t="array" ref="O35">_xlfn.IFS(
  AND(BikePurchase[[#This Row],[Age]]&gt;=18, BikePurchase[[#This Row],[Age]]&lt;=30), "Adolescent",
  AND(BikePurchase[[#This Row],[Age]]&gt;30, BikePurchase[[#This Row],[Age]]&lt;55), "Middle Aged",
  AND(BikePurchase[[#This Row],[Age]]&gt;=55, BikePurchase[[#This Row],[Age]]&lt;90), "Old",
  TRUE, "Invalid"
)</f>
        <v>Middle Aged</v>
      </c>
      <c r="P35" t="s">
        <v>13</v>
      </c>
      <c r="Q35" t="str">
        <f>IF(BikePurchase[[#This Row],[Purchased BikeX]]="No","Not Purchased","Purchased")</f>
        <v>Purchased</v>
      </c>
    </row>
    <row r="36" spans="1:17" x14ac:dyDescent="0.3">
      <c r="A36">
        <v>12291</v>
      </c>
      <c r="B36" t="s">
        <v>31</v>
      </c>
      <c r="C36" t="str">
        <f t="shared" si="0"/>
        <v>Single</v>
      </c>
      <c r="D36" t="s">
        <v>30</v>
      </c>
      <c r="E36" t="str">
        <f t="shared" si="1"/>
        <v>Male</v>
      </c>
      <c r="F36" s="2">
        <v>90000</v>
      </c>
      <c r="G36">
        <v>5</v>
      </c>
      <c r="H36" t="s">
        <v>16</v>
      </c>
      <c r="I36" t="s">
        <v>18</v>
      </c>
      <c r="J36" t="s">
        <v>15</v>
      </c>
      <c r="K36">
        <v>2</v>
      </c>
      <c r="L36" t="s">
        <v>19</v>
      </c>
      <c r="M36" t="s">
        <v>14</v>
      </c>
      <c r="N36" s="2">
        <v>62</v>
      </c>
      <c r="O36" t="str" cm="1">
        <f t="array" ref="O36">_xlfn.IFS(
  AND(BikePurchase[[#This Row],[Age]]&gt;=18, BikePurchase[[#This Row],[Age]]&lt;=30), "Adolescent",
  AND(BikePurchase[[#This Row],[Age]]&gt;30, BikePurchase[[#This Row],[Age]]&lt;55), "Middle Aged",
  AND(BikePurchase[[#This Row],[Age]]&gt;=55, BikePurchase[[#This Row],[Age]]&lt;90), "Old",
  TRUE, "Invalid"
)</f>
        <v>Old</v>
      </c>
      <c r="P36" t="s">
        <v>13</v>
      </c>
      <c r="Q36" t="str">
        <f>IF(BikePurchase[[#This Row],[Purchased BikeX]]="No","Not Purchased","Purchased")</f>
        <v>Purchased</v>
      </c>
    </row>
    <row r="37" spans="1:17" x14ac:dyDescent="0.3">
      <c r="A37">
        <v>28380</v>
      </c>
      <c r="B37" t="s">
        <v>31</v>
      </c>
      <c r="C37" t="str">
        <f t="shared" si="0"/>
        <v>Single</v>
      </c>
      <c r="D37" t="s">
        <v>29</v>
      </c>
      <c r="E37" t="str">
        <f t="shared" si="1"/>
        <v>Female</v>
      </c>
      <c r="F37" s="2">
        <v>10000</v>
      </c>
      <c r="G37">
        <v>5</v>
      </c>
      <c r="H37" t="s">
        <v>26</v>
      </c>
      <c r="I37" t="s">
        <v>22</v>
      </c>
      <c r="J37" t="s">
        <v>15</v>
      </c>
      <c r="K37">
        <v>2</v>
      </c>
      <c r="L37" t="s">
        <v>35</v>
      </c>
      <c r="M37" t="s">
        <v>14</v>
      </c>
      <c r="N37" s="2">
        <v>41</v>
      </c>
      <c r="O37" t="str" cm="1">
        <f t="array" ref="O37">_xlfn.IFS(
  AND(BikePurchase[[#This Row],[Age]]&gt;=18, BikePurchase[[#This Row],[Age]]&lt;=30), "Adolescent",
  AND(BikePurchase[[#This Row],[Age]]&gt;30, BikePurchase[[#This Row],[Age]]&lt;55), "Middle Aged",
  AND(BikePurchase[[#This Row],[Age]]&gt;=55, BikePurchase[[#This Row],[Age]]&lt;90), "Old",
  TRUE, "Invalid"
)</f>
        <v>Middle Aged</v>
      </c>
      <c r="P37" t="s">
        <v>15</v>
      </c>
      <c r="Q37" t="str">
        <f>IF(BikePurchase[[#This Row],[Purchased BikeX]]="No","Not Purchased","Purchased")</f>
        <v>Not Purchased</v>
      </c>
    </row>
    <row r="38" spans="1:17" x14ac:dyDescent="0.3">
      <c r="A38">
        <v>17891</v>
      </c>
      <c r="B38" t="s">
        <v>30</v>
      </c>
      <c r="C38" t="str">
        <f t="shared" si="0"/>
        <v>Married</v>
      </c>
      <c r="D38" t="s">
        <v>29</v>
      </c>
      <c r="E38" t="str">
        <f t="shared" si="1"/>
        <v>Female</v>
      </c>
      <c r="F38" s="2">
        <v>10000</v>
      </c>
      <c r="G38">
        <v>2</v>
      </c>
      <c r="H38" t="s">
        <v>16</v>
      </c>
      <c r="I38" t="s">
        <v>22</v>
      </c>
      <c r="J38" t="s">
        <v>13</v>
      </c>
      <c r="K38">
        <v>1</v>
      </c>
      <c r="L38" t="s">
        <v>35</v>
      </c>
      <c r="M38" t="s">
        <v>14</v>
      </c>
      <c r="N38" s="2">
        <v>50</v>
      </c>
      <c r="O38" t="str" cm="1">
        <f t="array" ref="O38">_xlfn.IFS(
  AND(BikePurchase[[#This Row],[Age]]&gt;=18, BikePurchase[[#This Row],[Age]]&lt;=30), "Adolescent",
  AND(BikePurchase[[#This Row],[Age]]&gt;30, BikePurchase[[#This Row],[Age]]&lt;55), "Middle Aged",
  AND(BikePurchase[[#This Row],[Age]]&gt;=55, BikePurchase[[#This Row],[Age]]&lt;90), "Old",
  TRUE, "Invalid"
)</f>
        <v>Middle Aged</v>
      </c>
      <c r="P38" t="s">
        <v>13</v>
      </c>
      <c r="Q38" t="str">
        <f>IF(BikePurchase[[#This Row],[Purchased BikeX]]="No","Not Purchased","Purchased")</f>
        <v>Purchased</v>
      </c>
    </row>
    <row r="39" spans="1:17" x14ac:dyDescent="0.3">
      <c r="A39">
        <v>27832</v>
      </c>
      <c r="B39" t="s">
        <v>31</v>
      </c>
      <c r="C39" t="str">
        <f t="shared" si="0"/>
        <v>Single</v>
      </c>
      <c r="D39" t="s">
        <v>29</v>
      </c>
      <c r="E39" t="str">
        <f t="shared" si="1"/>
        <v>Female</v>
      </c>
      <c r="F39" s="2">
        <v>30000</v>
      </c>
      <c r="G39">
        <v>0</v>
      </c>
      <c r="H39" t="s">
        <v>16</v>
      </c>
      <c r="I39" t="s">
        <v>17</v>
      </c>
      <c r="J39" t="s">
        <v>15</v>
      </c>
      <c r="K39">
        <v>1</v>
      </c>
      <c r="L39" t="s">
        <v>19</v>
      </c>
      <c r="M39" t="s">
        <v>14</v>
      </c>
      <c r="N39" s="2">
        <v>30</v>
      </c>
      <c r="O39" t="str" cm="1">
        <f t="array" ref="O39">_xlfn.IFS(
  AND(BikePurchase[[#This Row],[Age]]&gt;=18, BikePurchase[[#This Row],[Age]]&lt;=30), "Adolescent",
  AND(BikePurchase[[#This Row],[Age]]&gt;30, BikePurchase[[#This Row],[Age]]&lt;55), "Middle Aged",
  AND(BikePurchase[[#This Row],[Age]]&gt;=55, BikePurchase[[#This Row],[Age]]&lt;90), "Old",
  TRUE, "Invalid"
)</f>
        <v>Adolescent</v>
      </c>
      <c r="P39" t="s">
        <v>15</v>
      </c>
      <c r="Q39" t="str">
        <f>IF(BikePurchase[[#This Row],[Purchased BikeX]]="No","Not Purchased","Purchased")</f>
        <v>Not Purchased</v>
      </c>
    </row>
    <row r="40" spans="1:17" x14ac:dyDescent="0.3">
      <c r="A40">
        <v>26863</v>
      </c>
      <c r="B40" t="s">
        <v>31</v>
      </c>
      <c r="C40" t="str">
        <f t="shared" si="0"/>
        <v>Single</v>
      </c>
      <c r="D40" t="s">
        <v>30</v>
      </c>
      <c r="E40" t="str">
        <f t="shared" si="1"/>
        <v>Male</v>
      </c>
      <c r="F40" s="2">
        <v>20000</v>
      </c>
      <c r="G40">
        <v>0</v>
      </c>
      <c r="H40" t="s">
        <v>24</v>
      </c>
      <c r="I40" t="s">
        <v>22</v>
      </c>
      <c r="J40" t="s">
        <v>15</v>
      </c>
      <c r="K40">
        <v>1</v>
      </c>
      <c r="L40" t="s">
        <v>19</v>
      </c>
      <c r="M40" t="s">
        <v>14</v>
      </c>
      <c r="N40" s="2">
        <v>28</v>
      </c>
      <c r="O40" t="str" cm="1">
        <f t="array" ref="O40">_xlfn.IFS(
  AND(BikePurchase[[#This Row],[Age]]&gt;=18, BikePurchase[[#This Row],[Age]]&lt;=30), "Adolescent",
  AND(BikePurchase[[#This Row],[Age]]&gt;30, BikePurchase[[#This Row],[Age]]&lt;55), "Middle Aged",
  AND(BikePurchase[[#This Row],[Age]]&gt;=55, BikePurchase[[#This Row],[Age]]&lt;90), "Old",
  TRUE, "Invalid"
)</f>
        <v>Adolescent</v>
      </c>
      <c r="P40" t="s">
        <v>15</v>
      </c>
      <c r="Q40" t="str">
        <f>IF(BikePurchase[[#This Row],[Purchased BikeX]]="No","Not Purchased","Purchased")</f>
        <v>Not Purchased</v>
      </c>
    </row>
    <row r="41" spans="1:17" x14ac:dyDescent="0.3">
      <c r="A41">
        <v>16259</v>
      </c>
      <c r="B41" t="s">
        <v>31</v>
      </c>
      <c r="C41" t="str">
        <f t="shared" si="0"/>
        <v>Single</v>
      </c>
      <c r="D41" t="s">
        <v>29</v>
      </c>
      <c r="E41" t="str">
        <f t="shared" si="1"/>
        <v>Female</v>
      </c>
      <c r="F41" s="2">
        <v>10000</v>
      </c>
      <c r="G41">
        <v>4</v>
      </c>
      <c r="H41" t="s">
        <v>26</v>
      </c>
      <c r="I41" t="s">
        <v>22</v>
      </c>
      <c r="J41" t="s">
        <v>13</v>
      </c>
      <c r="K41">
        <v>2</v>
      </c>
      <c r="L41" t="s">
        <v>35</v>
      </c>
      <c r="M41" t="s">
        <v>14</v>
      </c>
      <c r="N41" s="2">
        <v>40</v>
      </c>
      <c r="O41" t="str" cm="1">
        <f t="array" ref="O41">_xlfn.IFS(
  AND(BikePurchase[[#This Row],[Age]]&gt;=18, BikePurchase[[#This Row],[Age]]&lt;=30), "Adolescent",
  AND(BikePurchase[[#This Row],[Age]]&gt;30, BikePurchase[[#This Row],[Age]]&lt;55), "Middle Aged",
  AND(BikePurchase[[#This Row],[Age]]&gt;=55, BikePurchase[[#This Row],[Age]]&lt;90), "Old",
  TRUE, "Invalid"
)</f>
        <v>Middle Aged</v>
      </c>
      <c r="P41" t="s">
        <v>13</v>
      </c>
      <c r="Q41" t="str">
        <f>IF(BikePurchase[[#This Row],[Purchased BikeX]]="No","Not Purchased","Purchased")</f>
        <v>Purchased</v>
      </c>
    </row>
    <row r="42" spans="1:17" x14ac:dyDescent="0.3">
      <c r="A42">
        <v>27803</v>
      </c>
      <c r="B42" t="s">
        <v>31</v>
      </c>
      <c r="C42" t="str">
        <f t="shared" si="0"/>
        <v>Single</v>
      </c>
      <c r="D42" t="s">
        <v>29</v>
      </c>
      <c r="E42" t="str">
        <f t="shared" si="1"/>
        <v>Female</v>
      </c>
      <c r="F42" s="2">
        <v>30000</v>
      </c>
      <c r="G42">
        <v>2</v>
      </c>
      <c r="H42" t="s">
        <v>16</v>
      </c>
      <c r="I42" t="s">
        <v>17</v>
      </c>
      <c r="J42" t="s">
        <v>15</v>
      </c>
      <c r="K42">
        <v>0</v>
      </c>
      <c r="L42" t="s">
        <v>35</v>
      </c>
      <c r="M42" t="s">
        <v>14</v>
      </c>
      <c r="N42" s="2">
        <v>43</v>
      </c>
      <c r="O42" t="str" cm="1">
        <f t="array" ref="O42">_xlfn.IFS(
  AND(BikePurchase[[#This Row],[Age]]&gt;=18, BikePurchase[[#This Row],[Age]]&lt;=30), "Adolescent",
  AND(BikePurchase[[#This Row],[Age]]&gt;30, BikePurchase[[#This Row],[Age]]&lt;55), "Middle Aged",
  AND(BikePurchase[[#This Row],[Age]]&gt;=55, BikePurchase[[#This Row],[Age]]&lt;90), "Old",
  TRUE, "Invalid"
)</f>
        <v>Middle Aged</v>
      </c>
      <c r="P42" t="s">
        <v>15</v>
      </c>
      <c r="Q42" t="str">
        <f>IF(BikePurchase[[#This Row],[Purchased BikeX]]="No","Not Purchased","Purchased")</f>
        <v>Not Purchased</v>
      </c>
    </row>
    <row r="43" spans="1:17" x14ac:dyDescent="0.3">
      <c r="A43">
        <v>14347</v>
      </c>
      <c r="B43" t="s">
        <v>31</v>
      </c>
      <c r="C43" t="str">
        <f t="shared" si="0"/>
        <v>Single</v>
      </c>
      <c r="D43" t="s">
        <v>29</v>
      </c>
      <c r="E43" t="str">
        <f t="shared" si="1"/>
        <v>Female</v>
      </c>
      <c r="F43" s="2">
        <v>40000</v>
      </c>
      <c r="G43">
        <v>2</v>
      </c>
      <c r="H43" t="s">
        <v>11</v>
      </c>
      <c r="I43" t="s">
        <v>25</v>
      </c>
      <c r="J43" t="s">
        <v>13</v>
      </c>
      <c r="K43">
        <v>2</v>
      </c>
      <c r="L43" t="s">
        <v>20</v>
      </c>
      <c r="M43" t="s">
        <v>21</v>
      </c>
      <c r="N43" s="2">
        <v>65</v>
      </c>
      <c r="O43" t="str" cm="1">
        <f t="array" ref="O43">_xlfn.IFS(
  AND(BikePurchase[[#This Row],[Age]]&gt;=18, BikePurchase[[#This Row],[Age]]&lt;=30), "Adolescent",
  AND(BikePurchase[[#This Row],[Age]]&gt;30, BikePurchase[[#This Row],[Age]]&lt;55), "Middle Aged",
  AND(BikePurchase[[#This Row],[Age]]&gt;=55, BikePurchase[[#This Row],[Age]]&lt;90), "Old",
  TRUE, "Invalid"
)</f>
        <v>Old</v>
      </c>
      <c r="P43" t="s">
        <v>13</v>
      </c>
      <c r="Q43" t="str">
        <f>IF(BikePurchase[[#This Row],[Purchased BikeX]]="No","Not Purchased","Purchased")</f>
        <v>Purchased</v>
      </c>
    </row>
    <row r="44" spans="1:17" x14ac:dyDescent="0.3">
      <c r="A44">
        <v>17703</v>
      </c>
      <c r="B44" t="s">
        <v>30</v>
      </c>
      <c r="C44" t="str">
        <f t="shared" si="0"/>
        <v>Married</v>
      </c>
      <c r="D44" t="s">
        <v>29</v>
      </c>
      <c r="E44" t="str">
        <f t="shared" si="1"/>
        <v>Female</v>
      </c>
      <c r="F44" s="2">
        <v>10000</v>
      </c>
      <c r="G44">
        <v>1</v>
      </c>
      <c r="H44" t="s">
        <v>27</v>
      </c>
      <c r="I44" t="s">
        <v>22</v>
      </c>
      <c r="J44" t="s">
        <v>13</v>
      </c>
      <c r="K44">
        <v>0</v>
      </c>
      <c r="L44" t="s">
        <v>35</v>
      </c>
      <c r="M44" t="s">
        <v>14</v>
      </c>
      <c r="N44" s="2">
        <v>40</v>
      </c>
      <c r="O44" t="str" cm="1">
        <f t="array" ref="O44">_xlfn.IFS(
  AND(BikePurchase[[#This Row],[Age]]&gt;=18, BikePurchase[[#This Row],[Age]]&lt;=30), "Adolescent",
  AND(BikePurchase[[#This Row],[Age]]&gt;30, BikePurchase[[#This Row],[Age]]&lt;55), "Middle Aged",
  AND(BikePurchase[[#This Row],[Age]]&gt;=55, BikePurchase[[#This Row],[Age]]&lt;90), "Old",
  TRUE, "Invalid"
)</f>
        <v>Middle Aged</v>
      </c>
      <c r="P44" t="s">
        <v>15</v>
      </c>
      <c r="Q44" t="str">
        <f>IF(BikePurchase[[#This Row],[Purchased BikeX]]="No","Not Purchased","Purchased")</f>
        <v>Not Purchased</v>
      </c>
    </row>
    <row r="45" spans="1:17" x14ac:dyDescent="0.3">
      <c r="A45">
        <v>17185</v>
      </c>
      <c r="B45" t="s">
        <v>30</v>
      </c>
      <c r="C45" t="str">
        <f t="shared" si="0"/>
        <v>Married</v>
      </c>
      <c r="D45" t="s">
        <v>29</v>
      </c>
      <c r="E45" t="str">
        <f t="shared" si="1"/>
        <v>Female</v>
      </c>
      <c r="F45" s="2">
        <v>170000</v>
      </c>
      <c r="G45">
        <v>4</v>
      </c>
      <c r="H45" t="s">
        <v>16</v>
      </c>
      <c r="I45" t="s">
        <v>18</v>
      </c>
      <c r="J45" t="s">
        <v>15</v>
      </c>
      <c r="K45">
        <v>3</v>
      </c>
      <c r="L45" t="s">
        <v>20</v>
      </c>
      <c r="M45" t="s">
        <v>14</v>
      </c>
      <c r="N45" s="2">
        <v>48</v>
      </c>
      <c r="O45" t="str" cm="1">
        <f t="array" ref="O45">_xlfn.IFS(
  AND(BikePurchase[[#This Row],[Age]]&gt;=18, BikePurchase[[#This Row],[Age]]&lt;=30), "Adolescent",
  AND(BikePurchase[[#This Row],[Age]]&gt;30, BikePurchase[[#This Row],[Age]]&lt;55), "Middle Aged",
  AND(BikePurchase[[#This Row],[Age]]&gt;=55, BikePurchase[[#This Row],[Age]]&lt;90), "Old",
  TRUE, "Invalid"
)</f>
        <v>Middle Aged</v>
      </c>
      <c r="P45" t="s">
        <v>13</v>
      </c>
      <c r="Q45" t="str">
        <f>IF(BikePurchase[[#This Row],[Purchased BikeX]]="No","Not Purchased","Purchased")</f>
        <v>Purchased</v>
      </c>
    </row>
    <row r="46" spans="1:17" x14ac:dyDescent="0.3">
      <c r="A46">
        <v>29380</v>
      </c>
      <c r="B46" t="s">
        <v>30</v>
      </c>
      <c r="C46" t="str">
        <f t="shared" si="0"/>
        <v>Married</v>
      </c>
      <c r="D46" t="s">
        <v>29</v>
      </c>
      <c r="E46" t="str">
        <f t="shared" si="1"/>
        <v>Female</v>
      </c>
      <c r="F46" s="2">
        <v>20000</v>
      </c>
      <c r="G46">
        <v>3</v>
      </c>
      <c r="H46" t="s">
        <v>24</v>
      </c>
      <c r="I46" t="s">
        <v>22</v>
      </c>
      <c r="J46" t="s">
        <v>13</v>
      </c>
      <c r="K46">
        <v>0</v>
      </c>
      <c r="L46" t="s">
        <v>35</v>
      </c>
      <c r="M46" t="s">
        <v>14</v>
      </c>
      <c r="N46" s="2">
        <v>41</v>
      </c>
      <c r="O46" t="str" cm="1">
        <f t="array" ref="O46">_xlfn.IFS(
  AND(BikePurchase[[#This Row],[Age]]&gt;=18, BikePurchase[[#This Row],[Age]]&lt;=30), "Adolescent",
  AND(BikePurchase[[#This Row],[Age]]&gt;30, BikePurchase[[#This Row],[Age]]&lt;55), "Middle Aged",
  AND(BikePurchase[[#This Row],[Age]]&gt;=55, BikePurchase[[#This Row],[Age]]&lt;90), "Old",
  TRUE, "Invalid"
)</f>
        <v>Middle Aged</v>
      </c>
      <c r="P46" t="s">
        <v>13</v>
      </c>
      <c r="Q46" t="str">
        <f>IF(BikePurchase[[#This Row],[Purchased BikeX]]="No","Not Purchased","Purchased")</f>
        <v>Purchased</v>
      </c>
    </row>
    <row r="47" spans="1:17" x14ac:dyDescent="0.3">
      <c r="A47">
        <v>23986</v>
      </c>
      <c r="B47" t="s">
        <v>30</v>
      </c>
      <c r="C47" t="str">
        <f t="shared" si="0"/>
        <v>Married</v>
      </c>
      <c r="D47" t="s">
        <v>29</v>
      </c>
      <c r="E47" t="str">
        <f t="shared" si="1"/>
        <v>Female</v>
      </c>
      <c r="F47" s="2">
        <v>20000</v>
      </c>
      <c r="G47">
        <v>1</v>
      </c>
      <c r="H47" t="s">
        <v>11</v>
      </c>
      <c r="I47" t="s">
        <v>17</v>
      </c>
      <c r="J47" t="s">
        <v>13</v>
      </c>
      <c r="K47">
        <v>0</v>
      </c>
      <c r="L47" t="s">
        <v>35</v>
      </c>
      <c r="M47" t="s">
        <v>14</v>
      </c>
      <c r="N47" s="2">
        <v>66</v>
      </c>
      <c r="O47" t="str" cm="1">
        <f t="array" ref="O47">_xlfn.IFS(
  AND(BikePurchase[[#This Row],[Age]]&gt;=18, BikePurchase[[#This Row],[Age]]&lt;=30), "Adolescent",
  AND(BikePurchase[[#This Row],[Age]]&gt;30, BikePurchase[[#This Row],[Age]]&lt;55), "Middle Aged",
  AND(BikePurchase[[#This Row],[Age]]&gt;=55, BikePurchase[[#This Row],[Age]]&lt;90), "Old",
  TRUE, "Invalid"
)</f>
        <v>Old</v>
      </c>
      <c r="P47" t="s">
        <v>13</v>
      </c>
      <c r="Q47" t="str">
        <f>IF(BikePurchase[[#This Row],[Purchased BikeX]]="No","Not Purchased","Purchased")</f>
        <v>Purchased</v>
      </c>
    </row>
    <row r="48" spans="1:17" x14ac:dyDescent="0.3">
      <c r="A48">
        <v>24466</v>
      </c>
      <c r="B48" t="s">
        <v>30</v>
      </c>
      <c r="C48" t="str">
        <f t="shared" si="0"/>
        <v>Married</v>
      </c>
      <c r="D48" t="s">
        <v>29</v>
      </c>
      <c r="E48" t="str">
        <f t="shared" si="1"/>
        <v>Female</v>
      </c>
      <c r="F48" s="2">
        <v>60000</v>
      </c>
      <c r="G48">
        <v>1</v>
      </c>
      <c r="H48" t="s">
        <v>16</v>
      </c>
      <c r="I48" t="s">
        <v>12</v>
      </c>
      <c r="J48" t="s">
        <v>13</v>
      </c>
      <c r="K48">
        <v>1</v>
      </c>
      <c r="L48" t="s">
        <v>20</v>
      </c>
      <c r="M48" t="s">
        <v>21</v>
      </c>
      <c r="N48" s="2">
        <v>46</v>
      </c>
      <c r="O48" t="str" cm="1">
        <f t="array" ref="O48">_xlfn.IFS(
  AND(BikePurchase[[#This Row],[Age]]&gt;=18, BikePurchase[[#This Row],[Age]]&lt;=30), "Adolescent",
  AND(BikePurchase[[#This Row],[Age]]&gt;30, BikePurchase[[#This Row],[Age]]&lt;55), "Middle Aged",
  AND(BikePurchase[[#This Row],[Age]]&gt;=55, BikePurchase[[#This Row],[Age]]&lt;90), "Old",
  TRUE, "Invalid"
)</f>
        <v>Middle Aged</v>
      </c>
      <c r="P48" t="s">
        <v>13</v>
      </c>
      <c r="Q48" t="str">
        <f>IF(BikePurchase[[#This Row],[Purchased BikeX]]="No","Not Purchased","Purchased")</f>
        <v>Purchased</v>
      </c>
    </row>
    <row r="49" spans="1:17" x14ac:dyDescent="0.3">
      <c r="A49">
        <v>29097</v>
      </c>
      <c r="B49" t="s">
        <v>31</v>
      </c>
      <c r="C49" t="str">
        <f t="shared" si="0"/>
        <v>Single</v>
      </c>
      <c r="D49" t="s">
        <v>29</v>
      </c>
      <c r="E49" t="str">
        <f t="shared" si="1"/>
        <v>Female</v>
      </c>
      <c r="F49" s="2">
        <v>40000</v>
      </c>
      <c r="G49">
        <v>2</v>
      </c>
      <c r="H49" t="s">
        <v>16</v>
      </c>
      <c r="I49" t="s">
        <v>12</v>
      </c>
      <c r="J49" t="s">
        <v>13</v>
      </c>
      <c r="K49">
        <v>2</v>
      </c>
      <c r="L49" t="s">
        <v>20</v>
      </c>
      <c r="M49" t="s">
        <v>21</v>
      </c>
      <c r="N49" s="2">
        <v>52</v>
      </c>
      <c r="O49" t="str" cm="1">
        <f t="array" ref="O49">_xlfn.IFS(
  AND(BikePurchase[[#This Row],[Age]]&gt;=18, BikePurchase[[#This Row],[Age]]&lt;=30), "Adolescent",
  AND(BikePurchase[[#This Row],[Age]]&gt;30, BikePurchase[[#This Row],[Age]]&lt;55), "Middle Aged",
  AND(BikePurchase[[#This Row],[Age]]&gt;=55, BikePurchase[[#This Row],[Age]]&lt;90), "Old",
  TRUE, "Invalid"
)</f>
        <v>Middle Aged</v>
      </c>
      <c r="P49" t="s">
        <v>13</v>
      </c>
      <c r="Q49" t="str">
        <f>IF(BikePurchase[[#This Row],[Purchased BikeX]]="No","Not Purchased","Purchased")</f>
        <v>Purchased</v>
      </c>
    </row>
    <row r="50" spans="1:17" x14ac:dyDescent="0.3">
      <c r="A50">
        <v>19487</v>
      </c>
      <c r="B50" t="s">
        <v>30</v>
      </c>
      <c r="C50" t="str">
        <f t="shared" si="0"/>
        <v>Married</v>
      </c>
      <c r="D50" t="s">
        <v>30</v>
      </c>
      <c r="E50" t="str">
        <f t="shared" si="1"/>
        <v>Male</v>
      </c>
      <c r="F50" s="2">
        <v>30000</v>
      </c>
      <c r="G50">
        <v>2</v>
      </c>
      <c r="H50" t="s">
        <v>16</v>
      </c>
      <c r="I50" t="s">
        <v>17</v>
      </c>
      <c r="J50" t="s">
        <v>15</v>
      </c>
      <c r="K50">
        <v>2</v>
      </c>
      <c r="L50" t="s">
        <v>35</v>
      </c>
      <c r="M50" t="s">
        <v>14</v>
      </c>
      <c r="N50" s="2">
        <v>42</v>
      </c>
      <c r="O50" t="str" cm="1">
        <f t="array" ref="O50">_xlfn.IFS(
  AND(BikePurchase[[#This Row],[Age]]&gt;=18, BikePurchase[[#This Row],[Age]]&lt;=30), "Adolescent",
  AND(BikePurchase[[#This Row],[Age]]&gt;30, BikePurchase[[#This Row],[Age]]&lt;55), "Middle Aged",
  AND(BikePurchase[[#This Row],[Age]]&gt;=55, BikePurchase[[#This Row],[Age]]&lt;90), "Old",
  TRUE, "Invalid"
)</f>
        <v>Middle Aged</v>
      </c>
      <c r="P50" t="s">
        <v>15</v>
      </c>
      <c r="Q50" t="str">
        <f>IF(BikePurchase[[#This Row],[Purchased BikeX]]="No","Not Purchased","Purchased")</f>
        <v>Not Purchased</v>
      </c>
    </row>
    <row r="51" spans="1:17" x14ac:dyDescent="0.3">
      <c r="A51">
        <v>14939</v>
      </c>
      <c r="B51" t="s">
        <v>31</v>
      </c>
      <c r="C51" t="str">
        <f t="shared" si="0"/>
        <v>Single</v>
      </c>
      <c r="D51" t="s">
        <v>30</v>
      </c>
      <c r="E51" t="str">
        <f t="shared" si="1"/>
        <v>Male</v>
      </c>
      <c r="F51" s="2">
        <v>40000</v>
      </c>
      <c r="G51">
        <v>0</v>
      </c>
      <c r="H51" t="s">
        <v>11</v>
      </c>
      <c r="I51" t="s">
        <v>17</v>
      </c>
      <c r="J51" t="s">
        <v>13</v>
      </c>
      <c r="K51">
        <v>0</v>
      </c>
      <c r="L51" t="s">
        <v>35</v>
      </c>
      <c r="M51" t="s">
        <v>14</v>
      </c>
      <c r="N51" s="2">
        <v>39</v>
      </c>
      <c r="O51" t="str" cm="1">
        <f t="array" ref="O51">_xlfn.IFS(
  AND(BikePurchase[[#This Row],[Age]]&gt;=18, BikePurchase[[#This Row],[Age]]&lt;=30), "Adolescent",
  AND(BikePurchase[[#This Row],[Age]]&gt;30, BikePurchase[[#This Row],[Age]]&lt;55), "Middle Aged",
  AND(BikePurchase[[#This Row],[Age]]&gt;=55, BikePurchase[[#This Row],[Age]]&lt;90), "Old",
  TRUE, "Invalid"
)</f>
        <v>Middle Aged</v>
      </c>
      <c r="P51" t="s">
        <v>13</v>
      </c>
      <c r="Q51" t="str">
        <f>IF(BikePurchase[[#This Row],[Purchased BikeX]]="No","Not Purchased","Purchased")</f>
        <v>Purchased</v>
      </c>
    </row>
    <row r="52" spans="1:17" x14ac:dyDescent="0.3">
      <c r="A52">
        <v>13826</v>
      </c>
      <c r="B52" t="s">
        <v>31</v>
      </c>
      <c r="C52" t="str">
        <f t="shared" si="0"/>
        <v>Single</v>
      </c>
      <c r="D52" t="s">
        <v>29</v>
      </c>
      <c r="E52" t="str">
        <f t="shared" si="1"/>
        <v>Female</v>
      </c>
      <c r="F52" s="2">
        <v>30000</v>
      </c>
      <c r="G52">
        <v>0</v>
      </c>
      <c r="H52" t="s">
        <v>16</v>
      </c>
      <c r="I52" t="s">
        <v>17</v>
      </c>
      <c r="J52" t="s">
        <v>15</v>
      </c>
      <c r="K52">
        <v>1</v>
      </c>
      <c r="L52" t="s">
        <v>35</v>
      </c>
      <c r="M52" t="s">
        <v>14</v>
      </c>
      <c r="N52" s="2">
        <v>28</v>
      </c>
      <c r="O52" t="str" cm="1">
        <f t="array" ref="O52">_xlfn.IFS(
  AND(BikePurchase[[#This Row],[Age]]&gt;=18, BikePurchase[[#This Row],[Age]]&lt;=30), "Adolescent",
  AND(BikePurchase[[#This Row],[Age]]&gt;30, BikePurchase[[#This Row],[Age]]&lt;55), "Middle Aged",
  AND(BikePurchase[[#This Row],[Age]]&gt;=55, BikePurchase[[#This Row],[Age]]&lt;90), "Old",
  TRUE, "Invalid"
)</f>
        <v>Adolescent</v>
      </c>
      <c r="P52" t="s">
        <v>15</v>
      </c>
      <c r="Q52" t="str">
        <f>IF(BikePurchase[[#This Row],[Purchased BikeX]]="No","Not Purchased","Purchased")</f>
        <v>Not Purchased</v>
      </c>
    </row>
    <row r="53" spans="1:17" x14ac:dyDescent="0.3">
      <c r="A53">
        <v>20619</v>
      </c>
      <c r="B53" t="s">
        <v>31</v>
      </c>
      <c r="C53" t="str">
        <f t="shared" si="0"/>
        <v>Single</v>
      </c>
      <c r="D53" t="s">
        <v>30</v>
      </c>
      <c r="E53" t="str">
        <f t="shared" si="1"/>
        <v>Male</v>
      </c>
      <c r="F53" s="2">
        <v>80000</v>
      </c>
      <c r="G53">
        <v>0</v>
      </c>
      <c r="H53" t="s">
        <v>11</v>
      </c>
      <c r="I53" t="s">
        <v>18</v>
      </c>
      <c r="J53" t="s">
        <v>15</v>
      </c>
      <c r="K53">
        <v>4</v>
      </c>
      <c r="L53" t="s">
        <v>48</v>
      </c>
      <c r="M53" t="s">
        <v>21</v>
      </c>
      <c r="N53" s="2">
        <v>35</v>
      </c>
      <c r="O53" t="str" cm="1">
        <f t="array" ref="O53">_xlfn.IFS(
  AND(BikePurchase[[#This Row],[Age]]&gt;=18, BikePurchase[[#This Row],[Age]]&lt;=30), "Adolescent",
  AND(BikePurchase[[#This Row],[Age]]&gt;30, BikePurchase[[#This Row],[Age]]&lt;55), "Middle Aged",
  AND(BikePurchase[[#This Row],[Age]]&gt;=55, BikePurchase[[#This Row],[Age]]&lt;90), "Old",
  TRUE, "Invalid"
)</f>
        <v>Middle Aged</v>
      </c>
      <c r="P53" t="s">
        <v>15</v>
      </c>
      <c r="Q53" t="str">
        <f>IF(BikePurchase[[#This Row],[Purchased BikeX]]="No","Not Purchased","Purchased")</f>
        <v>Not Purchased</v>
      </c>
    </row>
    <row r="54" spans="1:17" x14ac:dyDescent="0.3">
      <c r="A54">
        <v>12558</v>
      </c>
      <c r="B54" t="s">
        <v>30</v>
      </c>
      <c r="C54" t="str">
        <f t="shared" si="0"/>
        <v>Married</v>
      </c>
      <c r="D54" t="s">
        <v>29</v>
      </c>
      <c r="E54" t="str">
        <f t="shared" si="1"/>
        <v>Female</v>
      </c>
      <c r="F54" s="2">
        <v>20000</v>
      </c>
      <c r="G54">
        <v>1</v>
      </c>
      <c r="H54" t="s">
        <v>11</v>
      </c>
      <c r="I54" t="s">
        <v>17</v>
      </c>
      <c r="J54" t="s">
        <v>13</v>
      </c>
      <c r="K54">
        <v>0</v>
      </c>
      <c r="L54" t="s">
        <v>35</v>
      </c>
      <c r="M54" t="s">
        <v>14</v>
      </c>
      <c r="N54" s="2">
        <v>65</v>
      </c>
      <c r="O54" t="str" cm="1">
        <f t="array" ref="O54">_xlfn.IFS(
  AND(BikePurchase[[#This Row],[Age]]&gt;=18, BikePurchase[[#This Row],[Age]]&lt;=30), "Adolescent",
  AND(BikePurchase[[#This Row],[Age]]&gt;30, BikePurchase[[#This Row],[Age]]&lt;55), "Middle Aged",
  AND(BikePurchase[[#This Row],[Age]]&gt;=55, BikePurchase[[#This Row],[Age]]&lt;90), "Old",
  TRUE, "Invalid"
)</f>
        <v>Old</v>
      </c>
      <c r="P54" t="s">
        <v>15</v>
      </c>
      <c r="Q54" t="str">
        <f>IF(BikePurchase[[#This Row],[Purchased BikeX]]="No","Not Purchased","Purchased")</f>
        <v>Not Purchased</v>
      </c>
    </row>
    <row r="55" spans="1:17" x14ac:dyDescent="0.3">
      <c r="A55">
        <v>24871</v>
      </c>
      <c r="B55" t="s">
        <v>31</v>
      </c>
      <c r="C55" t="str">
        <f t="shared" si="0"/>
        <v>Single</v>
      </c>
      <c r="D55" t="s">
        <v>29</v>
      </c>
      <c r="E55" t="str">
        <f t="shared" si="1"/>
        <v>Female</v>
      </c>
      <c r="F55" s="2">
        <v>90000</v>
      </c>
      <c r="G55">
        <v>4</v>
      </c>
      <c r="H55" t="s">
        <v>24</v>
      </c>
      <c r="I55" t="s">
        <v>25</v>
      </c>
      <c r="J55" t="s">
        <v>15</v>
      </c>
      <c r="K55">
        <v>3</v>
      </c>
      <c r="L55" t="s">
        <v>20</v>
      </c>
      <c r="M55" t="s">
        <v>14</v>
      </c>
      <c r="N55" s="2">
        <v>56</v>
      </c>
      <c r="O55" t="str" cm="1">
        <f t="array" ref="O55">_xlfn.IFS(
  AND(BikePurchase[[#This Row],[Age]]&gt;=18, BikePurchase[[#This Row],[Age]]&lt;=30), "Adolescent",
  AND(BikePurchase[[#This Row],[Age]]&gt;30, BikePurchase[[#This Row],[Age]]&lt;55), "Middle Aged",
  AND(BikePurchase[[#This Row],[Age]]&gt;=55, BikePurchase[[#This Row],[Age]]&lt;90), "Old",
  TRUE, "Invalid"
)</f>
        <v>Old</v>
      </c>
      <c r="P55" t="s">
        <v>15</v>
      </c>
      <c r="Q55" t="str">
        <f>IF(BikePurchase[[#This Row],[Purchased BikeX]]="No","Not Purchased","Purchased")</f>
        <v>Not Purchased</v>
      </c>
    </row>
    <row r="56" spans="1:17" x14ac:dyDescent="0.3">
      <c r="A56">
        <v>17319</v>
      </c>
      <c r="B56" t="s">
        <v>31</v>
      </c>
      <c r="C56" t="str">
        <f t="shared" si="0"/>
        <v>Single</v>
      </c>
      <c r="D56" t="s">
        <v>29</v>
      </c>
      <c r="E56" t="str">
        <f t="shared" si="1"/>
        <v>Female</v>
      </c>
      <c r="F56" s="2">
        <v>70000</v>
      </c>
      <c r="G56">
        <v>0</v>
      </c>
      <c r="H56" t="s">
        <v>11</v>
      </c>
      <c r="I56" t="s">
        <v>18</v>
      </c>
      <c r="J56" t="s">
        <v>15</v>
      </c>
      <c r="K56">
        <v>1</v>
      </c>
      <c r="L56" t="s">
        <v>20</v>
      </c>
      <c r="M56" t="s">
        <v>21</v>
      </c>
      <c r="N56" s="2">
        <v>42</v>
      </c>
      <c r="O56" t="str" cm="1">
        <f t="array" ref="O56">_xlfn.IFS(
  AND(BikePurchase[[#This Row],[Age]]&gt;=18, BikePurchase[[#This Row],[Age]]&lt;=30), "Adolescent",
  AND(BikePurchase[[#This Row],[Age]]&gt;30, BikePurchase[[#This Row],[Age]]&lt;55), "Middle Aged",
  AND(BikePurchase[[#This Row],[Age]]&gt;=55, BikePurchase[[#This Row],[Age]]&lt;90), "Old",
  TRUE, "Invalid"
)</f>
        <v>Middle Aged</v>
      </c>
      <c r="P56" t="s">
        <v>15</v>
      </c>
      <c r="Q56" t="str">
        <f>IF(BikePurchase[[#This Row],[Purchased BikeX]]="No","Not Purchased","Purchased")</f>
        <v>Not Purchased</v>
      </c>
    </row>
    <row r="57" spans="1:17" x14ac:dyDescent="0.3">
      <c r="A57">
        <v>28906</v>
      </c>
      <c r="B57" t="s">
        <v>30</v>
      </c>
      <c r="C57" t="str">
        <f t="shared" si="0"/>
        <v>Married</v>
      </c>
      <c r="D57" t="s">
        <v>30</v>
      </c>
      <c r="E57" t="str">
        <f t="shared" si="1"/>
        <v>Male</v>
      </c>
      <c r="F57" s="2">
        <v>80000</v>
      </c>
      <c r="G57">
        <v>4</v>
      </c>
      <c r="H57" t="s">
        <v>24</v>
      </c>
      <c r="I57" t="s">
        <v>18</v>
      </c>
      <c r="J57" t="s">
        <v>13</v>
      </c>
      <c r="K57">
        <v>2</v>
      </c>
      <c r="L57" t="s">
        <v>48</v>
      </c>
      <c r="M57" t="s">
        <v>14</v>
      </c>
      <c r="N57" s="2">
        <v>54</v>
      </c>
      <c r="O57" t="str" cm="1">
        <f t="array" ref="O57">_xlfn.IFS(
  AND(BikePurchase[[#This Row],[Age]]&gt;=18, BikePurchase[[#This Row],[Age]]&lt;=30), "Adolescent",
  AND(BikePurchase[[#This Row],[Age]]&gt;30, BikePurchase[[#This Row],[Age]]&lt;55), "Middle Aged",
  AND(BikePurchase[[#This Row],[Age]]&gt;=55, BikePurchase[[#This Row],[Age]]&lt;90), "Old",
  TRUE, "Invalid"
)</f>
        <v>Middle Aged</v>
      </c>
      <c r="P57" t="s">
        <v>15</v>
      </c>
      <c r="Q57" t="str">
        <f>IF(BikePurchase[[#This Row],[Purchased BikeX]]="No","Not Purchased","Purchased")</f>
        <v>Not Purchased</v>
      </c>
    </row>
    <row r="58" spans="1:17" x14ac:dyDescent="0.3">
      <c r="A58">
        <v>12808</v>
      </c>
      <c r="B58" t="s">
        <v>30</v>
      </c>
      <c r="C58" t="str">
        <f t="shared" si="0"/>
        <v>Married</v>
      </c>
      <c r="D58" t="s">
        <v>30</v>
      </c>
      <c r="E58" t="str">
        <f t="shared" si="1"/>
        <v>Male</v>
      </c>
      <c r="F58" s="2">
        <v>40000</v>
      </c>
      <c r="G58">
        <v>0</v>
      </c>
      <c r="H58" t="s">
        <v>11</v>
      </c>
      <c r="I58" t="s">
        <v>17</v>
      </c>
      <c r="J58" t="s">
        <v>13</v>
      </c>
      <c r="K58">
        <v>0</v>
      </c>
      <c r="L58" t="s">
        <v>35</v>
      </c>
      <c r="M58" t="s">
        <v>14</v>
      </c>
      <c r="N58" s="2">
        <v>38</v>
      </c>
      <c r="O58" t="str" cm="1">
        <f t="array" ref="O58">_xlfn.IFS(
  AND(BikePurchase[[#This Row],[Age]]&gt;=18, BikePurchase[[#This Row],[Age]]&lt;=30), "Adolescent",
  AND(BikePurchase[[#This Row],[Age]]&gt;30, BikePurchase[[#This Row],[Age]]&lt;55), "Middle Aged",
  AND(BikePurchase[[#This Row],[Age]]&gt;=55, BikePurchase[[#This Row],[Age]]&lt;90), "Old",
  TRUE, "Invalid"
)</f>
        <v>Middle Aged</v>
      </c>
      <c r="P58" t="s">
        <v>13</v>
      </c>
      <c r="Q58" t="str">
        <f>IF(BikePurchase[[#This Row],[Purchased BikeX]]="No","Not Purchased","Purchased")</f>
        <v>Purchased</v>
      </c>
    </row>
    <row r="59" spans="1:17" x14ac:dyDescent="0.3">
      <c r="A59">
        <v>20567</v>
      </c>
      <c r="B59" t="s">
        <v>30</v>
      </c>
      <c r="C59" t="str">
        <f t="shared" si="0"/>
        <v>Married</v>
      </c>
      <c r="D59" t="s">
        <v>30</v>
      </c>
      <c r="E59" t="str">
        <f t="shared" si="1"/>
        <v>Male</v>
      </c>
      <c r="F59" s="2">
        <v>130000</v>
      </c>
      <c r="G59">
        <v>4</v>
      </c>
      <c r="H59" t="s">
        <v>16</v>
      </c>
      <c r="I59" t="s">
        <v>18</v>
      </c>
      <c r="J59" t="s">
        <v>15</v>
      </c>
      <c r="K59">
        <v>4</v>
      </c>
      <c r="L59" t="s">
        <v>20</v>
      </c>
      <c r="M59" t="s">
        <v>14</v>
      </c>
      <c r="N59" s="2">
        <v>61</v>
      </c>
      <c r="O59" t="str" cm="1">
        <f t="array" ref="O59">_xlfn.IFS(
  AND(BikePurchase[[#This Row],[Age]]&gt;=18, BikePurchase[[#This Row],[Age]]&lt;=30), "Adolescent",
  AND(BikePurchase[[#This Row],[Age]]&gt;30, BikePurchase[[#This Row],[Age]]&lt;55), "Middle Aged",
  AND(BikePurchase[[#This Row],[Age]]&gt;=55, BikePurchase[[#This Row],[Age]]&lt;90), "Old",
  TRUE, "Invalid"
)</f>
        <v>Old</v>
      </c>
      <c r="P59" t="s">
        <v>13</v>
      </c>
      <c r="Q59" t="str">
        <f>IF(BikePurchase[[#This Row],[Purchased BikeX]]="No","Not Purchased","Purchased")</f>
        <v>Purchased</v>
      </c>
    </row>
    <row r="60" spans="1:17" x14ac:dyDescent="0.3">
      <c r="A60">
        <v>25502</v>
      </c>
      <c r="B60" t="s">
        <v>30</v>
      </c>
      <c r="C60" t="str">
        <f t="shared" si="0"/>
        <v>Married</v>
      </c>
      <c r="D60" t="s">
        <v>29</v>
      </c>
      <c r="E60" t="str">
        <f t="shared" si="1"/>
        <v>Female</v>
      </c>
      <c r="F60" s="2">
        <v>40000</v>
      </c>
      <c r="G60">
        <v>1</v>
      </c>
      <c r="H60" t="s">
        <v>11</v>
      </c>
      <c r="I60" t="s">
        <v>12</v>
      </c>
      <c r="J60" t="s">
        <v>13</v>
      </c>
      <c r="K60">
        <v>0</v>
      </c>
      <c r="L60" t="s">
        <v>35</v>
      </c>
      <c r="M60" t="s">
        <v>14</v>
      </c>
      <c r="N60" s="2">
        <v>43</v>
      </c>
      <c r="O60" t="str" cm="1">
        <f t="array" ref="O60">_xlfn.IFS(
  AND(BikePurchase[[#This Row],[Age]]&gt;=18, BikePurchase[[#This Row],[Age]]&lt;=30), "Adolescent",
  AND(BikePurchase[[#This Row],[Age]]&gt;30, BikePurchase[[#This Row],[Age]]&lt;55), "Middle Aged",
  AND(BikePurchase[[#This Row],[Age]]&gt;=55, BikePurchase[[#This Row],[Age]]&lt;90), "Old",
  TRUE, "Invalid"
)</f>
        <v>Middle Aged</v>
      </c>
      <c r="P60" t="s">
        <v>13</v>
      </c>
      <c r="Q60" t="str">
        <f>IF(BikePurchase[[#This Row],[Purchased BikeX]]="No","Not Purchased","Purchased")</f>
        <v>Purchased</v>
      </c>
    </row>
    <row r="61" spans="1:17" x14ac:dyDescent="0.3">
      <c r="A61">
        <v>15580</v>
      </c>
      <c r="B61" t="s">
        <v>30</v>
      </c>
      <c r="C61" t="str">
        <f t="shared" si="0"/>
        <v>Married</v>
      </c>
      <c r="D61" t="s">
        <v>30</v>
      </c>
      <c r="E61" t="str">
        <f t="shared" si="1"/>
        <v>Male</v>
      </c>
      <c r="F61" s="2">
        <v>60000</v>
      </c>
      <c r="G61">
        <v>2</v>
      </c>
      <c r="H61" t="s">
        <v>11</v>
      </c>
      <c r="I61" t="s">
        <v>18</v>
      </c>
      <c r="J61" t="s">
        <v>13</v>
      </c>
      <c r="K61">
        <v>1</v>
      </c>
      <c r="L61" t="s">
        <v>19</v>
      </c>
      <c r="M61" t="s">
        <v>21</v>
      </c>
      <c r="N61" s="2">
        <v>38</v>
      </c>
      <c r="O61" t="str" cm="1">
        <f t="array" ref="O61">_xlfn.IFS(
  AND(BikePurchase[[#This Row],[Age]]&gt;=18, BikePurchase[[#This Row],[Age]]&lt;=30), "Adolescent",
  AND(BikePurchase[[#This Row],[Age]]&gt;30, BikePurchase[[#This Row],[Age]]&lt;55), "Middle Aged",
  AND(BikePurchase[[#This Row],[Age]]&gt;=55, BikePurchase[[#This Row],[Age]]&lt;90), "Old",
  TRUE, "Invalid"
)</f>
        <v>Middle Aged</v>
      </c>
      <c r="P61" t="s">
        <v>13</v>
      </c>
      <c r="Q61" t="str">
        <f>IF(BikePurchase[[#This Row],[Purchased BikeX]]="No","Not Purchased","Purchased")</f>
        <v>Purchased</v>
      </c>
    </row>
    <row r="62" spans="1:17" x14ac:dyDescent="0.3">
      <c r="A62">
        <v>24185</v>
      </c>
      <c r="B62" t="s">
        <v>31</v>
      </c>
      <c r="C62" t="str">
        <f t="shared" si="0"/>
        <v>Single</v>
      </c>
      <c r="D62" t="s">
        <v>29</v>
      </c>
      <c r="E62" t="str">
        <f t="shared" si="1"/>
        <v>Female</v>
      </c>
      <c r="F62" s="2">
        <v>10000</v>
      </c>
      <c r="G62">
        <v>1</v>
      </c>
      <c r="H62" t="s">
        <v>24</v>
      </c>
      <c r="I62" t="s">
        <v>22</v>
      </c>
      <c r="J62" t="s">
        <v>15</v>
      </c>
      <c r="K62">
        <v>1</v>
      </c>
      <c r="L62" t="s">
        <v>23</v>
      </c>
      <c r="M62" t="s">
        <v>14</v>
      </c>
      <c r="N62" s="2">
        <v>45</v>
      </c>
      <c r="O62" t="str" cm="1">
        <f t="array" ref="O62">_xlfn.IFS(
  AND(BikePurchase[[#This Row],[Age]]&gt;=18, BikePurchase[[#This Row],[Age]]&lt;=30), "Adolescent",
  AND(BikePurchase[[#This Row],[Age]]&gt;30, BikePurchase[[#This Row],[Age]]&lt;55), "Middle Aged",
  AND(BikePurchase[[#This Row],[Age]]&gt;=55, BikePurchase[[#This Row],[Age]]&lt;90), "Old",
  TRUE, "Invalid"
)</f>
        <v>Middle Aged</v>
      </c>
      <c r="P62" t="s">
        <v>15</v>
      </c>
      <c r="Q62" t="str">
        <f>IF(BikePurchase[[#This Row],[Purchased BikeX]]="No","Not Purchased","Purchased")</f>
        <v>Not Purchased</v>
      </c>
    </row>
    <row r="63" spans="1:17" x14ac:dyDescent="0.3">
      <c r="A63">
        <v>19291</v>
      </c>
      <c r="B63" t="s">
        <v>31</v>
      </c>
      <c r="C63" t="str">
        <f t="shared" si="0"/>
        <v>Single</v>
      </c>
      <c r="D63" t="s">
        <v>29</v>
      </c>
      <c r="E63" t="str">
        <f t="shared" si="1"/>
        <v>Female</v>
      </c>
      <c r="F63" s="2">
        <v>10000</v>
      </c>
      <c r="G63">
        <v>2</v>
      </c>
      <c r="H63" t="s">
        <v>24</v>
      </c>
      <c r="I63" t="s">
        <v>22</v>
      </c>
      <c r="J63" t="s">
        <v>13</v>
      </c>
      <c r="K63">
        <v>0</v>
      </c>
      <c r="L63" t="s">
        <v>35</v>
      </c>
      <c r="M63" t="s">
        <v>14</v>
      </c>
      <c r="N63" s="2">
        <v>35</v>
      </c>
      <c r="O63" t="str" cm="1">
        <f t="array" ref="O63">_xlfn.IFS(
  AND(BikePurchase[[#This Row],[Age]]&gt;=18, BikePurchase[[#This Row],[Age]]&lt;=30), "Adolescent",
  AND(BikePurchase[[#This Row],[Age]]&gt;30, BikePurchase[[#This Row],[Age]]&lt;55), "Middle Aged",
  AND(BikePurchase[[#This Row],[Age]]&gt;=55, BikePurchase[[#This Row],[Age]]&lt;90), "Old",
  TRUE, "Invalid"
)</f>
        <v>Middle Aged</v>
      </c>
      <c r="P63" t="s">
        <v>15</v>
      </c>
      <c r="Q63" t="str">
        <f>IF(BikePurchase[[#This Row],[Purchased BikeX]]="No","Not Purchased","Purchased")</f>
        <v>Not Purchased</v>
      </c>
    </row>
    <row r="64" spans="1:17" x14ac:dyDescent="0.3">
      <c r="A64">
        <v>16713</v>
      </c>
      <c r="B64" t="s">
        <v>30</v>
      </c>
      <c r="C64" t="str">
        <f t="shared" si="0"/>
        <v>Married</v>
      </c>
      <c r="D64" t="s">
        <v>30</v>
      </c>
      <c r="E64" t="str">
        <f t="shared" si="1"/>
        <v>Male</v>
      </c>
      <c r="F64" s="2">
        <v>40000</v>
      </c>
      <c r="G64">
        <v>2</v>
      </c>
      <c r="H64" t="s">
        <v>11</v>
      </c>
      <c r="I64" t="s">
        <v>25</v>
      </c>
      <c r="J64" t="s">
        <v>13</v>
      </c>
      <c r="K64">
        <v>1</v>
      </c>
      <c r="L64" t="s">
        <v>35</v>
      </c>
      <c r="M64" t="s">
        <v>21</v>
      </c>
      <c r="N64" s="2">
        <v>52</v>
      </c>
      <c r="O64" t="str" cm="1">
        <f t="array" ref="O64">_xlfn.IFS(
  AND(BikePurchase[[#This Row],[Age]]&gt;=18, BikePurchase[[#This Row],[Age]]&lt;=30), "Adolescent",
  AND(BikePurchase[[#This Row],[Age]]&gt;30, BikePurchase[[#This Row],[Age]]&lt;55), "Middle Aged",
  AND(BikePurchase[[#This Row],[Age]]&gt;=55, BikePurchase[[#This Row],[Age]]&lt;90), "Old",
  TRUE, "Invalid"
)</f>
        <v>Middle Aged</v>
      </c>
      <c r="P64" t="s">
        <v>13</v>
      </c>
      <c r="Q64" t="str">
        <f>IF(BikePurchase[[#This Row],[Purchased BikeX]]="No","Not Purchased","Purchased")</f>
        <v>Purchased</v>
      </c>
    </row>
    <row r="65" spans="1:17" x14ac:dyDescent="0.3">
      <c r="A65">
        <v>16185</v>
      </c>
      <c r="B65" t="s">
        <v>31</v>
      </c>
      <c r="C65" t="str">
        <f t="shared" si="0"/>
        <v>Single</v>
      </c>
      <c r="D65" t="s">
        <v>30</v>
      </c>
      <c r="E65" t="str">
        <f t="shared" si="1"/>
        <v>Male</v>
      </c>
      <c r="F65" s="2">
        <v>60000</v>
      </c>
      <c r="G65">
        <v>4</v>
      </c>
      <c r="H65" t="s">
        <v>11</v>
      </c>
      <c r="I65" t="s">
        <v>18</v>
      </c>
      <c r="J65" t="s">
        <v>13</v>
      </c>
      <c r="K65">
        <v>3</v>
      </c>
      <c r="L65" t="s">
        <v>48</v>
      </c>
      <c r="M65" t="s">
        <v>21</v>
      </c>
      <c r="N65" s="2">
        <v>41</v>
      </c>
      <c r="O65" t="str" cm="1">
        <f t="array" ref="O65">_xlfn.IFS(
  AND(BikePurchase[[#This Row],[Age]]&gt;=18, BikePurchase[[#This Row],[Age]]&lt;=30), "Adolescent",
  AND(BikePurchase[[#This Row],[Age]]&gt;30, BikePurchase[[#This Row],[Age]]&lt;55), "Middle Aged",
  AND(BikePurchase[[#This Row],[Age]]&gt;=55, BikePurchase[[#This Row],[Age]]&lt;90), "Old",
  TRUE, "Invalid"
)</f>
        <v>Middle Aged</v>
      </c>
      <c r="P65" t="s">
        <v>15</v>
      </c>
      <c r="Q65" t="str">
        <f>IF(BikePurchase[[#This Row],[Purchased BikeX]]="No","Not Purchased","Purchased")</f>
        <v>Not Purchased</v>
      </c>
    </row>
    <row r="66" spans="1:17" x14ac:dyDescent="0.3">
      <c r="A66">
        <v>14927</v>
      </c>
      <c r="B66" t="s">
        <v>30</v>
      </c>
      <c r="C66" t="str">
        <f t="shared" ref="C66:C129" si="2">IF(B66="M","Married","Single")</f>
        <v>Married</v>
      </c>
      <c r="D66" t="s">
        <v>29</v>
      </c>
      <c r="E66" t="str">
        <f t="shared" ref="E66:E129" si="3">IF(D66="F","Female","Male")</f>
        <v>Female</v>
      </c>
      <c r="F66" s="2">
        <v>30000</v>
      </c>
      <c r="G66">
        <v>1</v>
      </c>
      <c r="H66" t="s">
        <v>11</v>
      </c>
      <c r="I66" t="s">
        <v>17</v>
      </c>
      <c r="J66" t="s">
        <v>13</v>
      </c>
      <c r="K66">
        <v>0</v>
      </c>
      <c r="L66" t="s">
        <v>35</v>
      </c>
      <c r="M66" t="s">
        <v>14</v>
      </c>
      <c r="N66" s="2">
        <v>37</v>
      </c>
      <c r="O66" t="str" cm="1">
        <f t="array" ref="O66">_xlfn.IFS(
  AND(BikePurchase[[#This Row],[Age]]&gt;=18, BikePurchase[[#This Row],[Age]]&lt;=30), "Adolescent",
  AND(BikePurchase[[#This Row],[Age]]&gt;30, BikePurchase[[#This Row],[Age]]&lt;55), "Middle Aged",
  AND(BikePurchase[[#This Row],[Age]]&gt;=55, BikePurchase[[#This Row],[Age]]&lt;90), "Old",
  TRUE, "Invalid"
)</f>
        <v>Middle Aged</v>
      </c>
      <c r="P66" t="s">
        <v>13</v>
      </c>
      <c r="Q66" t="str">
        <f>IF(BikePurchase[[#This Row],[Purchased BikeX]]="No","Not Purchased","Purchased")</f>
        <v>Purchased</v>
      </c>
    </row>
    <row r="67" spans="1:17" x14ac:dyDescent="0.3">
      <c r="A67">
        <v>29337</v>
      </c>
      <c r="B67" t="s">
        <v>31</v>
      </c>
      <c r="C67" t="str">
        <f t="shared" si="2"/>
        <v>Single</v>
      </c>
      <c r="D67" t="s">
        <v>30</v>
      </c>
      <c r="E67" t="str">
        <f t="shared" si="3"/>
        <v>Male</v>
      </c>
      <c r="F67" s="2">
        <v>30000</v>
      </c>
      <c r="G67">
        <v>2</v>
      </c>
      <c r="H67" t="s">
        <v>16</v>
      </c>
      <c r="I67" t="s">
        <v>17</v>
      </c>
      <c r="J67" t="s">
        <v>13</v>
      </c>
      <c r="K67">
        <v>2</v>
      </c>
      <c r="L67" t="s">
        <v>20</v>
      </c>
      <c r="M67" t="s">
        <v>21</v>
      </c>
      <c r="N67" s="2">
        <v>68</v>
      </c>
      <c r="O67" t="str" cm="1">
        <f t="array" ref="O67">_xlfn.IFS(
  AND(BikePurchase[[#This Row],[Age]]&gt;=18, BikePurchase[[#This Row],[Age]]&lt;=30), "Adolescent",
  AND(BikePurchase[[#This Row],[Age]]&gt;30, BikePurchase[[#This Row],[Age]]&lt;55), "Middle Aged",
  AND(BikePurchase[[#This Row],[Age]]&gt;=55, BikePurchase[[#This Row],[Age]]&lt;90), "Old",
  TRUE, "Invalid"
)</f>
        <v>Old</v>
      </c>
      <c r="P67" t="s">
        <v>15</v>
      </c>
      <c r="Q67" t="str">
        <f>IF(BikePurchase[[#This Row],[Purchased BikeX]]="No","Not Purchased","Purchased")</f>
        <v>Not Purchased</v>
      </c>
    </row>
    <row r="68" spans="1:17" x14ac:dyDescent="0.3">
      <c r="A68">
        <v>29355</v>
      </c>
      <c r="B68" t="s">
        <v>30</v>
      </c>
      <c r="C68" t="str">
        <f t="shared" si="2"/>
        <v>Married</v>
      </c>
      <c r="D68" t="s">
        <v>29</v>
      </c>
      <c r="E68" t="str">
        <f t="shared" si="3"/>
        <v>Female</v>
      </c>
      <c r="F68" s="2">
        <v>40000</v>
      </c>
      <c r="G68">
        <v>0</v>
      </c>
      <c r="H68" t="s">
        <v>27</v>
      </c>
      <c r="I68" t="s">
        <v>17</v>
      </c>
      <c r="J68" t="s">
        <v>13</v>
      </c>
      <c r="K68">
        <v>0</v>
      </c>
      <c r="L68" t="s">
        <v>35</v>
      </c>
      <c r="M68" t="s">
        <v>14</v>
      </c>
      <c r="N68" s="2">
        <v>37</v>
      </c>
      <c r="O68" t="str" cm="1">
        <f t="array" ref="O68">_xlfn.IFS(
  AND(BikePurchase[[#This Row],[Age]]&gt;=18, BikePurchase[[#This Row],[Age]]&lt;=30), "Adolescent",
  AND(BikePurchase[[#This Row],[Age]]&gt;30, BikePurchase[[#This Row],[Age]]&lt;55), "Middle Aged",
  AND(BikePurchase[[#This Row],[Age]]&gt;=55, BikePurchase[[#This Row],[Age]]&lt;90), "Old",
  TRUE, "Invalid"
)</f>
        <v>Middle Aged</v>
      </c>
      <c r="P68" t="s">
        <v>13</v>
      </c>
      <c r="Q68" t="str">
        <f>IF(BikePurchase[[#This Row],[Purchased BikeX]]="No","Not Purchased","Purchased")</f>
        <v>Purchased</v>
      </c>
    </row>
    <row r="69" spans="1:17" x14ac:dyDescent="0.3">
      <c r="A69">
        <v>25303</v>
      </c>
      <c r="B69" t="s">
        <v>31</v>
      </c>
      <c r="C69" t="str">
        <f t="shared" si="2"/>
        <v>Single</v>
      </c>
      <c r="D69" t="s">
        <v>30</v>
      </c>
      <c r="E69" t="str">
        <f t="shared" si="3"/>
        <v>Male</v>
      </c>
      <c r="F69" s="2">
        <v>30000</v>
      </c>
      <c r="G69">
        <v>0</v>
      </c>
      <c r="H69" t="s">
        <v>24</v>
      </c>
      <c r="I69" t="s">
        <v>22</v>
      </c>
      <c r="J69" t="s">
        <v>13</v>
      </c>
      <c r="K69">
        <v>1</v>
      </c>
      <c r="L69" t="s">
        <v>19</v>
      </c>
      <c r="M69" t="s">
        <v>14</v>
      </c>
      <c r="N69" s="2">
        <v>33</v>
      </c>
      <c r="O69" t="str" cm="1">
        <f t="array" ref="O69">_xlfn.IFS(
  AND(BikePurchase[[#This Row],[Age]]&gt;=18, BikePurchase[[#This Row],[Age]]&lt;=30), "Adolescent",
  AND(BikePurchase[[#This Row],[Age]]&gt;30, BikePurchase[[#This Row],[Age]]&lt;55), "Middle Aged",
  AND(BikePurchase[[#This Row],[Age]]&gt;=55, BikePurchase[[#This Row],[Age]]&lt;90), "Old",
  TRUE, "Invalid"
)</f>
        <v>Middle Aged</v>
      </c>
      <c r="P69" t="s">
        <v>13</v>
      </c>
      <c r="Q69" t="str">
        <f>IF(BikePurchase[[#This Row],[Purchased BikeX]]="No","Not Purchased","Purchased")</f>
        <v>Purchased</v>
      </c>
    </row>
    <row r="70" spans="1:17" x14ac:dyDescent="0.3">
      <c r="A70">
        <v>14813</v>
      </c>
      <c r="B70" t="s">
        <v>31</v>
      </c>
      <c r="C70" t="str">
        <f t="shared" si="2"/>
        <v>Single</v>
      </c>
      <c r="D70" t="s">
        <v>29</v>
      </c>
      <c r="E70" t="str">
        <f t="shared" si="3"/>
        <v>Female</v>
      </c>
      <c r="F70" s="2">
        <v>20000</v>
      </c>
      <c r="G70">
        <v>4</v>
      </c>
      <c r="H70" t="s">
        <v>24</v>
      </c>
      <c r="I70" t="s">
        <v>22</v>
      </c>
      <c r="J70" t="s">
        <v>13</v>
      </c>
      <c r="K70">
        <v>1</v>
      </c>
      <c r="L70" t="s">
        <v>35</v>
      </c>
      <c r="M70" t="s">
        <v>14</v>
      </c>
      <c r="N70" s="2">
        <v>43</v>
      </c>
      <c r="O70" t="str" cm="1">
        <f t="array" ref="O70">_xlfn.IFS(
  AND(BikePurchase[[#This Row],[Age]]&gt;=18, BikePurchase[[#This Row],[Age]]&lt;=30), "Adolescent",
  AND(BikePurchase[[#This Row],[Age]]&gt;30, BikePurchase[[#This Row],[Age]]&lt;55), "Middle Aged",
  AND(BikePurchase[[#This Row],[Age]]&gt;=55, BikePurchase[[#This Row],[Age]]&lt;90), "Old",
  TRUE, "Invalid"
)</f>
        <v>Middle Aged</v>
      </c>
      <c r="P70" t="s">
        <v>13</v>
      </c>
      <c r="Q70" t="str">
        <f>IF(BikePurchase[[#This Row],[Purchased BikeX]]="No","Not Purchased","Purchased")</f>
        <v>Purchased</v>
      </c>
    </row>
    <row r="71" spans="1:17" x14ac:dyDescent="0.3">
      <c r="A71">
        <v>16438</v>
      </c>
      <c r="B71" t="s">
        <v>30</v>
      </c>
      <c r="C71" t="str">
        <f t="shared" si="2"/>
        <v>Married</v>
      </c>
      <c r="D71" t="s">
        <v>29</v>
      </c>
      <c r="E71" t="str">
        <f t="shared" si="3"/>
        <v>Female</v>
      </c>
      <c r="F71" s="2">
        <v>10000</v>
      </c>
      <c r="G71">
        <v>0</v>
      </c>
      <c r="H71" t="s">
        <v>26</v>
      </c>
      <c r="I71" t="s">
        <v>22</v>
      </c>
      <c r="J71" t="s">
        <v>15</v>
      </c>
      <c r="K71">
        <v>2</v>
      </c>
      <c r="L71" t="s">
        <v>35</v>
      </c>
      <c r="M71" t="s">
        <v>14</v>
      </c>
      <c r="N71" s="2">
        <v>30</v>
      </c>
      <c r="O71" t="str" cm="1">
        <f t="array" ref="O71">_xlfn.IFS(
  AND(BikePurchase[[#This Row],[Age]]&gt;=18, BikePurchase[[#This Row],[Age]]&lt;=30), "Adolescent",
  AND(BikePurchase[[#This Row],[Age]]&gt;30, BikePurchase[[#This Row],[Age]]&lt;55), "Middle Aged",
  AND(BikePurchase[[#This Row],[Age]]&gt;=55, BikePurchase[[#This Row],[Age]]&lt;90), "Old",
  TRUE, "Invalid"
)</f>
        <v>Adolescent</v>
      </c>
      <c r="P71" t="s">
        <v>15</v>
      </c>
      <c r="Q71" t="str">
        <f>IF(BikePurchase[[#This Row],[Purchased BikeX]]="No","Not Purchased","Purchased")</f>
        <v>Not Purchased</v>
      </c>
    </row>
    <row r="72" spans="1:17" x14ac:dyDescent="0.3">
      <c r="A72">
        <v>14238</v>
      </c>
      <c r="B72" t="s">
        <v>30</v>
      </c>
      <c r="C72" t="str">
        <f t="shared" si="2"/>
        <v>Married</v>
      </c>
      <c r="D72" t="s">
        <v>30</v>
      </c>
      <c r="E72" t="str">
        <f t="shared" si="3"/>
        <v>Male</v>
      </c>
      <c r="F72" s="2">
        <v>120000</v>
      </c>
      <c r="G72">
        <v>0</v>
      </c>
      <c r="H72" t="s">
        <v>26</v>
      </c>
      <c r="I72" t="s">
        <v>18</v>
      </c>
      <c r="J72" t="s">
        <v>13</v>
      </c>
      <c r="K72">
        <v>4</v>
      </c>
      <c r="L72" t="s">
        <v>48</v>
      </c>
      <c r="M72" t="s">
        <v>21</v>
      </c>
      <c r="N72" s="2">
        <v>36</v>
      </c>
      <c r="O72" t="str" cm="1">
        <f t="array" ref="O72">_xlfn.IFS(
  AND(BikePurchase[[#This Row],[Age]]&gt;=18, BikePurchase[[#This Row],[Age]]&lt;=30), "Adolescent",
  AND(BikePurchase[[#This Row],[Age]]&gt;30, BikePurchase[[#This Row],[Age]]&lt;55), "Middle Aged",
  AND(BikePurchase[[#This Row],[Age]]&gt;=55, BikePurchase[[#This Row],[Age]]&lt;90), "Old",
  TRUE, "Invalid"
)</f>
        <v>Middle Aged</v>
      </c>
      <c r="P72" t="s">
        <v>13</v>
      </c>
      <c r="Q72" t="str">
        <f>IF(BikePurchase[[#This Row],[Purchased BikeX]]="No","Not Purchased","Purchased")</f>
        <v>Purchased</v>
      </c>
    </row>
    <row r="73" spans="1:17" x14ac:dyDescent="0.3">
      <c r="A73">
        <v>16200</v>
      </c>
      <c r="B73" t="s">
        <v>31</v>
      </c>
      <c r="C73" t="str">
        <f t="shared" si="2"/>
        <v>Single</v>
      </c>
      <c r="D73" t="s">
        <v>29</v>
      </c>
      <c r="E73" t="str">
        <f t="shared" si="3"/>
        <v>Female</v>
      </c>
      <c r="F73" s="2">
        <v>10000</v>
      </c>
      <c r="G73">
        <v>0</v>
      </c>
      <c r="H73" t="s">
        <v>26</v>
      </c>
      <c r="I73" t="s">
        <v>22</v>
      </c>
      <c r="J73" t="s">
        <v>15</v>
      </c>
      <c r="K73">
        <v>2</v>
      </c>
      <c r="L73" t="s">
        <v>35</v>
      </c>
      <c r="M73" t="s">
        <v>14</v>
      </c>
      <c r="N73" s="2">
        <v>35</v>
      </c>
      <c r="O73" t="str" cm="1">
        <f t="array" ref="O73">_xlfn.IFS(
  AND(BikePurchase[[#This Row],[Age]]&gt;=18, BikePurchase[[#This Row],[Age]]&lt;=30), "Adolescent",
  AND(BikePurchase[[#This Row],[Age]]&gt;30, BikePurchase[[#This Row],[Age]]&lt;55), "Middle Aged",
  AND(BikePurchase[[#This Row],[Age]]&gt;=55, BikePurchase[[#This Row],[Age]]&lt;90), "Old",
  TRUE, "Invalid"
)</f>
        <v>Middle Aged</v>
      </c>
      <c r="P73" t="s">
        <v>15</v>
      </c>
      <c r="Q73" t="str">
        <f>IF(BikePurchase[[#This Row],[Purchased BikeX]]="No","Not Purchased","Purchased")</f>
        <v>Not Purchased</v>
      </c>
    </row>
    <row r="74" spans="1:17" x14ac:dyDescent="0.3">
      <c r="A74">
        <v>24857</v>
      </c>
      <c r="B74" t="s">
        <v>30</v>
      </c>
      <c r="C74" t="str">
        <f t="shared" si="2"/>
        <v>Married</v>
      </c>
      <c r="D74" t="s">
        <v>29</v>
      </c>
      <c r="E74" t="str">
        <f t="shared" si="3"/>
        <v>Female</v>
      </c>
      <c r="F74" s="2">
        <v>130000</v>
      </c>
      <c r="G74">
        <v>3</v>
      </c>
      <c r="H74" t="s">
        <v>24</v>
      </c>
      <c r="I74" t="s">
        <v>18</v>
      </c>
      <c r="J74" t="s">
        <v>13</v>
      </c>
      <c r="K74">
        <v>4</v>
      </c>
      <c r="L74" t="s">
        <v>35</v>
      </c>
      <c r="M74" t="s">
        <v>14</v>
      </c>
      <c r="N74" s="2">
        <v>52</v>
      </c>
      <c r="O74" t="str" cm="1">
        <f t="array" ref="O74">_xlfn.IFS(
  AND(BikePurchase[[#This Row],[Age]]&gt;=18, BikePurchase[[#This Row],[Age]]&lt;=30), "Adolescent",
  AND(BikePurchase[[#This Row],[Age]]&gt;30, BikePurchase[[#This Row],[Age]]&lt;55), "Middle Aged",
  AND(BikePurchase[[#This Row],[Age]]&gt;=55, BikePurchase[[#This Row],[Age]]&lt;90), "Old",
  TRUE, "Invalid"
)</f>
        <v>Middle Aged</v>
      </c>
      <c r="P74" t="s">
        <v>15</v>
      </c>
      <c r="Q74" t="str">
        <f>IF(BikePurchase[[#This Row],[Purchased BikeX]]="No","Not Purchased","Purchased")</f>
        <v>Not Purchased</v>
      </c>
    </row>
    <row r="75" spans="1:17" x14ac:dyDescent="0.3">
      <c r="A75">
        <v>26956</v>
      </c>
      <c r="B75" t="s">
        <v>31</v>
      </c>
      <c r="C75" t="str">
        <f t="shared" si="2"/>
        <v>Single</v>
      </c>
      <c r="D75" t="s">
        <v>29</v>
      </c>
      <c r="E75" t="str">
        <f t="shared" si="3"/>
        <v>Female</v>
      </c>
      <c r="F75" s="2">
        <v>20000</v>
      </c>
      <c r="G75">
        <v>0</v>
      </c>
      <c r="H75" t="s">
        <v>16</v>
      </c>
      <c r="I75" t="s">
        <v>22</v>
      </c>
      <c r="J75" t="s">
        <v>15</v>
      </c>
      <c r="K75">
        <v>1</v>
      </c>
      <c r="L75" t="s">
        <v>19</v>
      </c>
      <c r="M75" t="s">
        <v>14</v>
      </c>
      <c r="N75" s="2">
        <v>36</v>
      </c>
      <c r="O75" t="str" cm="1">
        <f t="array" ref="O75">_xlfn.IFS(
  AND(BikePurchase[[#This Row],[Age]]&gt;=18, BikePurchase[[#This Row],[Age]]&lt;=30), "Adolescent",
  AND(BikePurchase[[#This Row],[Age]]&gt;30, BikePurchase[[#This Row],[Age]]&lt;55), "Middle Aged",
  AND(BikePurchase[[#This Row],[Age]]&gt;=55, BikePurchase[[#This Row],[Age]]&lt;90), "Old",
  TRUE, "Invalid"
)</f>
        <v>Middle Aged</v>
      </c>
      <c r="P75" t="s">
        <v>13</v>
      </c>
      <c r="Q75" t="str">
        <f>IF(BikePurchase[[#This Row],[Purchased BikeX]]="No","Not Purchased","Purchased")</f>
        <v>Purchased</v>
      </c>
    </row>
    <row r="76" spans="1:17" x14ac:dyDescent="0.3">
      <c r="A76">
        <v>14517</v>
      </c>
      <c r="B76" t="s">
        <v>30</v>
      </c>
      <c r="C76" t="str">
        <f t="shared" si="2"/>
        <v>Married</v>
      </c>
      <c r="D76" t="s">
        <v>29</v>
      </c>
      <c r="E76" t="str">
        <f t="shared" si="3"/>
        <v>Female</v>
      </c>
      <c r="F76" s="2">
        <v>20000</v>
      </c>
      <c r="G76">
        <v>3</v>
      </c>
      <c r="H76" t="s">
        <v>24</v>
      </c>
      <c r="I76" t="s">
        <v>12</v>
      </c>
      <c r="J76" t="s">
        <v>15</v>
      </c>
      <c r="K76">
        <v>2</v>
      </c>
      <c r="L76" t="s">
        <v>23</v>
      </c>
      <c r="M76" t="s">
        <v>21</v>
      </c>
      <c r="N76" s="2">
        <v>62</v>
      </c>
      <c r="O76" t="str" cm="1">
        <f t="array" ref="O76">_xlfn.IFS(
  AND(BikePurchase[[#This Row],[Age]]&gt;=18, BikePurchase[[#This Row],[Age]]&lt;=30), "Adolescent",
  AND(BikePurchase[[#This Row],[Age]]&gt;30, BikePurchase[[#This Row],[Age]]&lt;55), "Middle Aged",
  AND(BikePurchase[[#This Row],[Age]]&gt;=55, BikePurchase[[#This Row],[Age]]&lt;90), "Old",
  TRUE, "Invalid"
)</f>
        <v>Old</v>
      </c>
      <c r="P76" t="s">
        <v>15</v>
      </c>
      <c r="Q76" t="str">
        <f>IF(BikePurchase[[#This Row],[Purchased BikeX]]="No","Not Purchased","Purchased")</f>
        <v>Not Purchased</v>
      </c>
    </row>
    <row r="77" spans="1:17" x14ac:dyDescent="0.3">
      <c r="A77">
        <v>12678</v>
      </c>
      <c r="B77" t="s">
        <v>31</v>
      </c>
      <c r="C77" t="str">
        <f t="shared" si="2"/>
        <v>Single</v>
      </c>
      <c r="D77" t="s">
        <v>29</v>
      </c>
      <c r="E77" t="str">
        <f t="shared" si="3"/>
        <v>Female</v>
      </c>
      <c r="F77" s="2">
        <v>130000</v>
      </c>
      <c r="G77">
        <v>4</v>
      </c>
      <c r="H77" t="s">
        <v>24</v>
      </c>
      <c r="I77" t="s">
        <v>25</v>
      </c>
      <c r="J77" t="s">
        <v>13</v>
      </c>
      <c r="K77">
        <v>4</v>
      </c>
      <c r="L77" t="s">
        <v>35</v>
      </c>
      <c r="M77" t="s">
        <v>21</v>
      </c>
      <c r="N77" s="2">
        <v>31</v>
      </c>
      <c r="O77" t="str" cm="1">
        <f t="array" ref="O77">_xlfn.IFS(
  AND(BikePurchase[[#This Row],[Age]]&gt;=18, BikePurchase[[#This Row],[Age]]&lt;=30), "Adolescent",
  AND(BikePurchase[[#This Row],[Age]]&gt;30, BikePurchase[[#This Row],[Age]]&lt;55), "Middle Aged",
  AND(BikePurchase[[#This Row],[Age]]&gt;=55, BikePurchase[[#This Row],[Age]]&lt;90), "Old",
  TRUE, "Invalid"
)</f>
        <v>Middle Aged</v>
      </c>
      <c r="P77" t="s">
        <v>15</v>
      </c>
      <c r="Q77" t="str">
        <f>IF(BikePurchase[[#This Row],[Purchased BikeX]]="No","Not Purchased","Purchased")</f>
        <v>Not Purchased</v>
      </c>
    </row>
    <row r="78" spans="1:17" x14ac:dyDescent="0.3">
      <c r="A78">
        <v>16188</v>
      </c>
      <c r="B78" t="s">
        <v>31</v>
      </c>
      <c r="C78" t="str">
        <f t="shared" si="2"/>
        <v>Single</v>
      </c>
      <c r="D78" t="s">
        <v>29</v>
      </c>
      <c r="E78" t="str">
        <f t="shared" si="3"/>
        <v>Female</v>
      </c>
      <c r="F78" s="2">
        <v>20000</v>
      </c>
      <c r="G78">
        <v>0</v>
      </c>
      <c r="H78" t="s">
        <v>26</v>
      </c>
      <c r="I78" t="s">
        <v>22</v>
      </c>
      <c r="J78" t="s">
        <v>15</v>
      </c>
      <c r="K78">
        <v>2</v>
      </c>
      <c r="L78" t="s">
        <v>23</v>
      </c>
      <c r="M78" t="s">
        <v>14</v>
      </c>
      <c r="N78" s="2">
        <v>26</v>
      </c>
      <c r="O78" t="str" cm="1">
        <f t="array" ref="O78">_xlfn.IFS(
  AND(BikePurchase[[#This Row],[Age]]&gt;=18, BikePurchase[[#This Row],[Age]]&lt;=30), "Adolescent",
  AND(BikePurchase[[#This Row],[Age]]&gt;30, BikePurchase[[#This Row],[Age]]&lt;55), "Middle Aged",
  AND(BikePurchase[[#This Row],[Age]]&gt;=55, BikePurchase[[#This Row],[Age]]&lt;90), "Old",
  TRUE, "Invalid"
)</f>
        <v>Adolescent</v>
      </c>
      <c r="P78" t="s">
        <v>15</v>
      </c>
      <c r="Q78" t="str">
        <f>IF(BikePurchase[[#This Row],[Purchased BikeX]]="No","Not Purchased","Purchased")</f>
        <v>Not Purchased</v>
      </c>
    </row>
    <row r="79" spans="1:17" x14ac:dyDescent="0.3">
      <c r="A79">
        <v>27969</v>
      </c>
      <c r="B79" t="s">
        <v>30</v>
      </c>
      <c r="C79" t="str">
        <f t="shared" si="2"/>
        <v>Married</v>
      </c>
      <c r="D79" t="s">
        <v>30</v>
      </c>
      <c r="E79" t="str">
        <f t="shared" si="3"/>
        <v>Male</v>
      </c>
      <c r="F79" s="2">
        <v>80000</v>
      </c>
      <c r="G79">
        <v>0</v>
      </c>
      <c r="H79" t="s">
        <v>11</v>
      </c>
      <c r="I79" t="s">
        <v>18</v>
      </c>
      <c r="J79" t="s">
        <v>13</v>
      </c>
      <c r="K79">
        <v>2</v>
      </c>
      <c r="L79" t="s">
        <v>48</v>
      </c>
      <c r="M79" t="s">
        <v>21</v>
      </c>
      <c r="N79" s="2">
        <v>29</v>
      </c>
      <c r="O79" t="str" cm="1">
        <f t="array" ref="O79">_xlfn.IFS(
  AND(BikePurchase[[#This Row],[Age]]&gt;=18, BikePurchase[[#This Row],[Age]]&lt;=30), "Adolescent",
  AND(BikePurchase[[#This Row],[Age]]&gt;30, BikePurchase[[#This Row],[Age]]&lt;55), "Middle Aged",
  AND(BikePurchase[[#This Row],[Age]]&gt;=55, BikePurchase[[#This Row],[Age]]&lt;90), "Old",
  TRUE, "Invalid"
)</f>
        <v>Adolescent</v>
      </c>
      <c r="P79" t="s">
        <v>13</v>
      </c>
      <c r="Q79" t="str">
        <f>IF(BikePurchase[[#This Row],[Purchased BikeX]]="No","Not Purchased","Purchased")</f>
        <v>Purchased</v>
      </c>
    </row>
    <row r="80" spans="1:17" x14ac:dyDescent="0.3">
      <c r="A80">
        <v>15752</v>
      </c>
      <c r="B80" t="s">
        <v>30</v>
      </c>
      <c r="C80" t="str">
        <f t="shared" si="2"/>
        <v>Married</v>
      </c>
      <c r="D80" t="s">
        <v>30</v>
      </c>
      <c r="E80" t="str">
        <f t="shared" si="3"/>
        <v>Male</v>
      </c>
      <c r="F80" s="2">
        <v>80000</v>
      </c>
      <c r="G80">
        <v>2</v>
      </c>
      <c r="H80" t="s">
        <v>24</v>
      </c>
      <c r="I80" t="s">
        <v>12</v>
      </c>
      <c r="J80" t="s">
        <v>15</v>
      </c>
      <c r="K80">
        <v>2</v>
      </c>
      <c r="L80" t="s">
        <v>23</v>
      </c>
      <c r="M80" t="s">
        <v>21</v>
      </c>
      <c r="N80" s="2">
        <v>50</v>
      </c>
      <c r="O80" t="str" cm="1">
        <f t="array" ref="O80">_xlfn.IFS(
  AND(BikePurchase[[#This Row],[Age]]&gt;=18, BikePurchase[[#This Row],[Age]]&lt;=30), "Adolescent",
  AND(BikePurchase[[#This Row],[Age]]&gt;30, BikePurchase[[#This Row],[Age]]&lt;55), "Middle Aged",
  AND(BikePurchase[[#This Row],[Age]]&gt;=55, BikePurchase[[#This Row],[Age]]&lt;90), "Old",
  TRUE, "Invalid"
)</f>
        <v>Middle Aged</v>
      </c>
      <c r="P80" t="s">
        <v>13</v>
      </c>
      <c r="Q80" t="str">
        <f>IF(BikePurchase[[#This Row],[Purchased BikeX]]="No","Not Purchased","Purchased")</f>
        <v>Purchased</v>
      </c>
    </row>
    <row r="81" spans="1:17" x14ac:dyDescent="0.3">
      <c r="A81">
        <v>27745</v>
      </c>
      <c r="B81" t="s">
        <v>31</v>
      </c>
      <c r="C81" t="str">
        <f t="shared" si="2"/>
        <v>Single</v>
      </c>
      <c r="D81" t="s">
        <v>30</v>
      </c>
      <c r="E81" t="str">
        <f t="shared" si="3"/>
        <v>Male</v>
      </c>
      <c r="F81" s="2">
        <v>40000</v>
      </c>
      <c r="G81">
        <v>2</v>
      </c>
      <c r="H81" t="s">
        <v>11</v>
      </c>
      <c r="I81" t="s">
        <v>25</v>
      </c>
      <c r="J81" t="s">
        <v>13</v>
      </c>
      <c r="K81">
        <v>2</v>
      </c>
      <c r="L81" t="s">
        <v>20</v>
      </c>
      <c r="M81" t="s">
        <v>21</v>
      </c>
      <c r="N81" s="2">
        <v>63</v>
      </c>
      <c r="O81" t="str" cm="1">
        <f t="array" ref="O81">_xlfn.IFS(
  AND(BikePurchase[[#This Row],[Age]]&gt;=18, BikePurchase[[#This Row],[Age]]&lt;=30), "Adolescent",
  AND(BikePurchase[[#This Row],[Age]]&gt;30, BikePurchase[[#This Row],[Age]]&lt;55), "Middle Aged",
  AND(BikePurchase[[#This Row],[Age]]&gt;=55, BikePurchase[[#This Row],[Age]]&lt;90), "Old",
  TRUE, "Invalid"
)</f>
        <v>Old</v>
      </c>
      <c r="P81" t="s">
        <v>13</v>
      </c>
      <c r="Q81" t="str">
        <f>IF(BikePurchase[[#This Row],[Purchased BikeX]]="No","Not Purchased","Purchased")</f>
        <v>Purchased</v>
      </c>
    </row>
    <row r="82" spans="1:17" x14ac:dyDescent="0.3">
      <c r="A82">
        <v>20828</v>
      </c>
      <c r="B82" t="s">
        <v>30</v>
      </c>
      <c r="C82" t="str">
        <f t="shared" si="2"/>
        <v>Married</v>
      </c>
      <c r="D82" t="s">
        <v>29</v>
      </c>
      <c r="E82" t="str">
        <f t="shared" si="3"/>
        <v>Female</v>
      </c>
      <c r="F82" s="2">
        <v>30000</v>
      </c>
      <c r="G82">
        <v>4</v>
      </c>
      <c r="H82" t="s">
        <v>27</v>
      </c>
      <c r="I82" t="s">
        <v>17</v>
      </c>
      <c r="J82" t="s">
        <v>13</v>
      </c>
      <c r="K82">
        <v>0</v>
      </c>
      <c r="L82" t="s">
        <v>35</v>
      </c>
      <c r="M82" t="s">
        <v>14</v>
      </c>
      <c r="N82" s="2">
        <v>45</v>
      </c>
      <c r="O82" t="str" cm="1">
        <f t="array" ref="O82">_xlfn.IFS(
  AND(BikePurchase[[#This Row],[Age]]&gt;=18, BikePurchase[[#This Row],[Age]]&lt;=30), "Adolescent",
  AND(BikePurchase[[#This Row],[Age]]&gt;30, BikePurchase[[#This Row],[Age]]&lt;55), "Middle Aged",
  AND(BikePurchase[[#This Row],[Age]]&gt;=55, BikePurchase[[#This Row],[Age]]&lt;90), "Old",
  TRUE, "Invalid"
)</f>
        <v>Middle Aged</v>
      </c>
      <c r="P82" t="s">
        <v>13</v>
      </c>
      <c r="Q82" t="str">
        <f>IF(BikePurchase[[#This Row],[Purchased BikeX]]="No","Not Purchased","Purchased")</f>
        <v>Purchased</v>
      </c>
    </row>
    <row r="83" spans="1:17" x14ac:dyDescent="0.3">
      <c r="A83">
        <v>19461</v>
      </c>
      <c r="B83" t="s">
        <v>31</v>
      </c>
      <c r="C83" t="str">
        <f t="shared" si="2"/>
        <v>Single</v>
      </c>
      <c r="D83" t="s">
        <v>29</v>
      </c>
      <c r="E83" t="str">
        <f t="shared" si="3"/>
        <v>Female</v>
      </c>
      <c r="F83" s="2">
        <v>10000</v>
      </c>
      <c r="G83">
        <v>4</v>
      </c>
      <c r="H83" t="s">
        <v>26</v>
      </c>
      <c r="I83" t="s">
        <v>22</v>
      </c>
      <c r="J83" t="s">
        <v>13</v>
      </c>
      <c r="K83">
        <v>2</v>
      </c>
      <c r="L83" t="s">
        <v>35</v>
      </c>
      <c r="M83" t="s">
        <v>14</v>
      </c>
      <c r="N83" s="2">
        <v>40</v>
      </c>
      <c r="O83" t="str" cm="1">
        <f t="array" ref="O83">_xlfn.IFS(
  AND(BikePurchase[[#This Row],[Age]]&gt;=18, BikePurchase[[#This Row],[Age]]&lt;=30), "Adolescent",
  AND(BikePurchase[[#This Row],[Age]]&gt;30, BikePurchase[[#This Row],[Age]]&lt;55), "Middle Aged",
  AND(BikePurchase[[#This Row],[Age]]&gt;=55, BikePurchase[[#This Row],[Age]]&lt;90), "Old",
  TRUE, "Invalid"
)</f>
        <v>Middle Aged</v>
      </c>
      <c r="P83" t="s">
        <v>15</v>
      </c>
      <c r="Q83" t="str">
        <f>IF(BikePurchase[[#This Row],[Purchased BikeX]]="No","Not Purchased","Purchased")</f>
        <v>Not Purchased</v>
      </c>
    </row>
    <row r="84" spans="1:17" x14ac:dyDescent="0.3">
      <c r="A84">
        <v>26941</v>
      </c>
      <c r="B84" t="s">
        <v>30</v>
      </c>
      <c r="C84" t="str">
        <f t="shared" si="2"/>
        <v>Married</v>
      </c>
      <c r="D84" t="s">
        <v>30</v>
      </c>
      <c r="E84" t="str">
        <f t="shared" si="3"/>
        <v>Male</v>
      </c>
      <c r="F84" s="2">
        <v>30000</v>
      </c>
      <c r="G84">
        <v>0</v>
      </c>
      <c r="H84" t="s">
        <v>11</v>
      </c>
      <c r="I84" t="s">
        <v>17</v>
      </c>
      <c r="J84" t="s">
        <v>13</v>
      </c>
      <c r="K84">
        <v>0</v>
      </c>
      <c r="L84" t="s">
        <v>35</v>
      </c>
      <c r="M84" t="s">
        <v>14</v>
      </c>
      <c r="N84" s="2">
        <v>47</v>
      </c>
      <c r="O84" t="str" cm="1">
        <f t="array" ref="O84">_xlfn.IFS(
  AND(BikePurchase[[#This Row],[Age]]&gt;=18, BikePurchase[[#This Row],[Age]]&lt;=30), "Adolescent",
  AND(BikePurchase[[#This Row],[Age]]&gt;30, BikePurchase[[#This Row],[Age]]&lt;55), "Middle Aged",
  AND(BikePurchase[[#This Row],[Age]]&gt;=55, BikePurchase[[#This Row],[Age]]&lt;90), "Old",
  TRUE, "Invalid"
)</f>
        <v>Middle Aged</v>
      </c>
      <c r="P84" t="s">
        <v>13</v>
      </c>
      <c r="Q84" t="str">
        <f>IF(BikePurchase[[#This Row],[Purchased BikeX]]="No","Not Purchased","Purchased")</f>
        <v>Purchased</v>
      </c>
    </row>
    <row r="85" spans="1:17" x14ac:dyDescent="0.3">
      <c r="A85">
        <v>28412</v>
      </c>
      <c r="B85" t="s">
        <v>31</v>
      </c>
      <c r="C85" t="str">
        <f t="shared" si="2"/>
        <v>Single</v>
      </c>
      <c r="D85" t="s">
        <v>30</v>
      </c>
      <c r="E85" t="str">
        <f t="shared" si="3"/>
        <v>Male</v>
      </c>
      <c r="F85" s="2">
        <v>20000</v>
      </c>
      <c r="G85">
        <v>0</v>
      </c>
      <c r="H85" t="s">
        <v>24</v>
      </c>
      <c r="I85" t="s">
        <v>22</v>
      </c>
      <c r="J85" t="s">
        <v>15</v>
      </c>
      <c r="K85">
        <v>1</v>
      </c>
      <c r="L85" t="s">
        <v>19</v>
      </c>
      <c r="M85" t="s">
        <v>14</v>
      </c>
      <c r="N85" s="2">
        <v>29</v>
      </c>
      <c r="O85" t="str" cm="1">
        <f t="array" ref="O85">_xlfn.IFS(
  AND(BikePurchase[[#This Row],[Age]]&gt;=18, BikePurchase[[#This Row],[Age]]&lt;=30), "Adolescent",
  AND(BikePurchase[[#This Row],[Age]]&gt;30, BikePurchase[[#This Row],[Age]]&lt;55), "Middle Aged",
  AND(BikePurchase[[#This Row],[Age]]&gt;=55, BikePurchase[[#This Row],[Age]]&lt;90), "Old",
  TRUE, "Invalid"
)</f>
        <v>Adolescent</v>
      </c>
      <c r="P85" t="s">
        <v>15</v>
      </c>
      <c r="Q85" t="str">
        <f>IF(BikePurchase[[#This Row],[Purchased BikeX]]="No","Not Purchased","Purchased")</f>
        <v>Not Purchased</v>
      </c>
    </row>
    <row r="86" spans="1:17" x14ac:dyDescent="0.3">
      <c r="A86">
        <v>24485</v>
      </c>
      <c r="B86" t="s">
        <v>31</v>
      </c>
      <c r="C86" t="str">
        <f t="shared" si="2"/>
        <v>Single</v>
      </c>
      <c r="D86" t="s">
        <v>30</v>
      </c>
      <c r="E86" t="str">
        <f t="shared" si="3"/>
        <v>Male</v>
      </c>
      <c r="F86" s="2">
        <v>40000</v>
      </c>
      <c r="G86">
        <v>2</v>
      </c>
      <c r="H86" t="s">
        <v>11</v>
      </c>
      <c r="I86" t="s">
        <v>25</v>
      </c>
      <c r="J86" t="s">
        <v>15</v>
      </c>
      <c r="K86">
        <v>1</v>
      </c>
      <c r="L86" t="s">
        <v>20</v>
      </c>
      <c r="M86" t="s">
        <v>21</v>
      </c>
      <c r="N86" s="2">
        <v>52</v>
      </c>
      <c r="O86" t="str" cm="1">
        <f t="array" ref="O86">_xlfn.IFS(
  AND(BikePurchase[[#This Row],[Age]]&gt;=18, BikePurchase[[#This Row],[Age]]&lt;=30), "Adolescent",
  AND(BikePurchase[[#This Row],[Age]]&gt;30, BikePurchase[[#This Row],[Age]]&lt;55), "Middle Aged",
  AND(BikePurchase[[#This Row],[Age]]&gt;=55, BikePurchase[[#This Row],[Age]]&lt;90), "Old",
  TRUE, "Invalid"
)</f>
        <v>Middle Aged</v>
      </c>
      <c r="P86" t="s">
        <v>13</v>
      </c>
      <c r="Q86" t="str">
        <f>IF(BikePurchase[[#This Row],[Purchased BikeX]]="No","Not Purchased","Purchased")</f>
        <v>Purchased</v>
      </c>
    </row>
    <row r="87" spans="1:17" x14ac:dyDescent="0.3">
      <c r="A87">
        <v>16514</v>
      </c>
      <c r="B87" t="s">
        <v>31</v>
      </c>
      <c r="C87" t="str">
        <f t="shared" si="2"/>
        <v>Single</v>
      </c>
      <c r="D87" t="s">
        <v>30</v>
      </c>
      <c r="E87" t="str">
        <f t="shared" si="3"/>
        <v>Male</v>
      </c>
      <c r="F87" s="2">
        <v>10000</v>
      </c>
      <c r="G87">
        <v>0</v>
      </c>
      <c r="H87" t="s">
        <v>16</v>
      </c>
      <c r="I87" t="s">
        <v>22</v>
      </c>
      <c r="J87" t="s">
        <v>13</v>
      </c>
      <c r="K87">
        <v>1</v>
      </c>
      <c r="L87" t="s">
        <v>23</v>
      </c>
      <c r="M87" t="s">
        <v>21</v>
      </c>
      <c r="N87" s="2">
        <v>26</v>
      </c>
      <c r="O87" t="str" cm="1">
        <f t="array" ref="O87">_xlfn.IFS(
  AND(BikePurchase[[#This Row],[Age]]&gt;=18, BikePurchase[[#This Row],[Age]]&lt;=30), "Adolescent",
  AND(BikePurchase[[#This Row],[Age]]&gt;30, BikePurchase[[#This Row],[Age]]&lt;55), "Middle Aged",
  AND(BikePurchase[[#This Row],[Age]]&gt;=55, BikePurchase[[#This Row],[Age]]&lt;90), "Old",
  TRUE, "Invalid"
)</f>
        <v>Adolescent</v>
      </c>
      <c r="P87" t="s">
        <v>13</v>
      </c>
      <c r="Q87" t="str">
        <f>IF(BikePurchase[[#This Row],[Purchased BikeX]]="No","Not Purchased","Purchased")</f>
        <v>Purchased</v>
      </c>
    </row>
    <row r="88" spans="1:17" x14ac:dyDescent="0.3">
      <c r="A88">
        <v>17191</v>
      </c>
      <c r="B88" t="s">
        <v>31</v>
      </c>
      <c r="C88" t="str">
        <f t="shared" si="2"/>
        <v>Single</v>
      </c>
      <c r="D88" t="s">
        <v>30</v>
      </c>
      <c r="E88" t="str">
        <f t="shared" si="3"/>
        <v>Male</v>
      </c>
      <c r="F88" s="2">
        <v>130000</v>
      </c>
      <c r="G88">
        <v>3</v>
      </c>
      <c r="H88" t="s">
        <v>16</v>
      </c>
      <c r="I88" t="s">
        <v>18</v>
      </c>
      <c r="J88" t="s">
        <v>15</v>
      </c>
      <c r="K88">
        <v>3</v>
      </c>
      <c r="L88" t="s">
        <v>35</v>
      </c>
      <c r="M88" t="s">
        <v>14</v>
      </c>
      <c r="N88" s="2">
        <v>51</v>
      </c>
      <c r="O88" t="str" cm="1">
        <f t="array" ref="O88">_xlfn.IFS(
  AND(BikePurchase[[#This Row],[Age]]&gt;=18, BikePurchase[[#This Row],[Age]]&lt;=30), "Adolescent",
  AND(BikePurchase[[#This Row],[Age]]&gt;30, BikePurchase[[#This Row],[Age]]&lt;55), "Middle Aged",
  AND(BikePurchase[[#This Row],[Age]]&gt;=55, BikePurchase[[#This Row],[Age]]&lt;90), "Old",
  TRUE, "Invalid"
)</f>
        <v>Middle Aged</v>
      </c>
      <c r="P88" t="s">
        <v>13</v>
      </c>
      <c r="Q88" t="str">
        <f>IF(BikePurchase[[#This Row],[Purchased BikeX]]="No","Not Purchased","Purchased")</f>
        <v>Purchased</v>
      </c>
    </row>
    <row r="89" spans="1:17" x14ac:dyDescent="0.3">
      <c r="A89">
        <v>19608</v>
      </c>
      <c r="B89" t="s">
        <v>30</v>
      </c>
      <c r="C89" t="str">
        <f t="shared" si="2"/>
        <v>Married</v>
      </c>
      <c r="D89" t="s">
        <v>30</v>
      </c>
      <c r="E89" t="str">
        <f t="shared" si="3"/>
        <v>Male</v>
      </c>
      <c r="F89" s="2">
        <v>80000</v>
      </c>
      <c r="G89">
        <v>5</v>
      </c>
      <c r="H89" t="s">
        <v>11</v>
      </c>
      <c r="I89" t="s">
        <v>18</v>
      </c>
      <c r="J89" t="s">
        <v>13</v>
      </c>
      <c r="K89">
        <v>4</v>
      </c>
      <c r="L89" t="s">
        <v>23</v>
      </c>
      <c r="M89" t="s">
        <v>21</v>
      </c>
      <c r="N89" s="2">
        <v>40</v>
      </c>
      <c r="O89" t="str" cm="1">
        <f t="array" ref="O89">_xlfn.IFS(
  AND(BikePurchase[[#This Row],[Age]]&gt;=18, BikePurchase[[#This Row],[Age]]&lt;=30), "Adolescent",
  AND(BikePurchase[[#This Row],[Age]]&gt;30, BikePurchase[[#This Row],[Age]]&lt;55), "Middle Aged",
  AND(BikePurchase[[#This Row],[Age]]&gt;=55, BikePurchase[[#This Row],[Age]]&lt;90), "Old",
  TRUE, "Invalid"
)</f>
        <v>Middle Aged</v>
      </c>
      <c r="P89" t="s">
        <v>15</v>
      </c>
      <c r="Q89" t="str">
        <f>IF(BikePurchase[[#This Row],[Purchased BikeX]]="No","Not Purchased","Purchased")</f>
        <v>Not Purchased</v>
      </c>
    </row>
    <row r="90" spans="1:17" x14ac:dyDescent="0.3">
      <c r="A90">
        <v>24119</v>
      </c>
      <c r="B90" t="s">
        <v>31</v>
      </c>
      <c r="C90" t="str">
        <f t="shared" si="2"/>
        <v>Single</v>
      </c>
      <c r="D90" t="s">
        <v>30</v>
      </c>
      <c r="E90" t="str">
        <f t="shared" si="3"/>
        <v>Male</v>
      </c>
      <c r="F90" s="2">
        <v>30000</v>
      </c>
      <c r="G90">
        <v>0</v>
      </c>
      <c r="H90" t="s">
        <v>16</v>
      </c>
      <c r="I90" t="s">
        <v>17</v>
      </c>
      <c r="J90" t="s">
        <v>15</v>
      </c>
      <c r="K90">
        <v>1</v>
      </c>
      <c r="L90" t="s">
        <v>19</v>
      </c>
      <c r="M90" t="s">
        <v>14</v>
      </c>
      <c r="N90" s="2">
        <v>29</v>
      </c>
      <c r="O90" t="str" cm="1">
        <f t="array" ref="O90">_xlfn.IFS(
  AND(BikePurchase[[#This Row],[Age]]&gt;=18, BikePurchase[[#This Row],[Age]]&lt;=30), "Adolescent",
  AND(BikePurchase[[#This Row],[Age]]&gt;30, BikePurchase[[#This Row],[Age]]&lt;55), "Middle Aged",
  AND(BikePurchase[[#This Row],[Age]]&gt;=55, BikePurchase[[#This Row],[Age]]&lt;90), "Old",
  TRUE, "Invalid"
)</f>
        <v>Adolescent</v>
      </c>
      <c r="P90" t="s">
        <v>15</v>
      </c>
      <c r="Q90" t="str">
        <f>IF(BikePurchase[[#This Row],[Purchased BikeX]]="No","Not Purchased","Purchased")</f>
        <v>Not Purchased</v>
      </c>
    </row>
    <row r="91" spans="1:17" x14ac:dyDescent="0.3">
      <c r="A91">
        <v>25458</v>
      </c>
      <c r="B91" t="s">
        <v>30</v>
      </c>
      <c r="C91" t="str">
        <f t="shared" si="2"/>
        <v>Married</v>
      </c>
      <c r="D91" t="s">
        <v>30</v>
      </c>
      <c r="E91" t="str">
        <f t="shared" si="3"/>
        <v>Male</v>
      </c>
      <c r="F91" s="2">
        <v>20000</v>
      </c>
      <c r="G91">
        <v>1</v>
      </c>
      <c r="H91" t="s">
        <v>24</v>
      </c>
      <c r="I91" t="s">
        <v>22</v>
      </c>
      <c r="J91" t="s">
        <v>15</v>
      </c>
      <c r="K91">
        <v>1</v>
      </c>
      <c r="L91" t="s">
        <v>23</v>
      </c>
      <c r="M91" t="s">
        <v>14</v>
      </c>
      <c r="N91" s="2">
        <v>40</v>
      </c>
      <c r="O91" t="str" cm="1">
        <f t="array" ref="O91">_xlfn.IFS(
  AND(BikePurchase[[#This Row],[Age]]&gt;=18, BikePurchase[[#This Row],[Age]]&lt;=30), "Adolescent",
  AND(BikePurchase[[#This Row],[Age]]&gt;30, BikePurchase[[#This Row],[Age]]&lt;55), "Middle Aged",
  AND(BikePurchase[[#This Row],[Age]]&gt;=55, BikePurchase[[#This Row],[Age]]&lt;90), "Old",
  TRUE, "Invalid"
)</f>
        <v>Middle Aged</v>
      </c>
      <c r="P91" t="s">
        <v>13</v>
      </c>
      <c r="Q91" t="str">
        <f>IF(BikePurchase[[#This Row],[Purchased BikeX]]="No","Not Purchased","Purchased")</f>
        <v>Purchased</v>
      </c>
    </row>
    <row r="92" spans="1:17" x14ac:dyDescent="0.3">
      <c r="A92">
        <v>26886</v>
      </c>
      <c r="B92" t="s">
        <v>31</v>
      </c>
      <c r="C92" t="str">
        <f t="shared" si="2"/>
        <v>Single</v>
      </c>
      <c r="D92" t="s">
        <v>29</v>
      </c>
      <c r="E92" t="str">
        <f t="shared" si="3"/>
        <v>Female</v>
      </c>
      <c r="F92" s="2">
        <v>30000</v>
      </c>
      <c r="G92">
        <v>0</v>
      </c>
      <c r="H92" t="s">
        <v>16</v>
      </c>
      <c r="I92" t="s">
        <v>17</v>
      </c>
      <c r="J92" t="s">
        <v>15</v>
      </c>
      <c r="K92">
        <v>1</v>
      </c>
      <c r="L92" t="s">
        <v>35</v>
      </c>
      <c r="M92" t="s">
        <v>14</v>
      </c>
      <c r="N92" s="2">
        <v>29</v>
      </c>
      <c r="O92" t="str" cm="1">
        <f t="array" ref="O92">_xlfn.IFS(
  AND(BikePurchase[[#This Row],[Age]]&gt;=18, BikePurchase[[#This Row],[Age]]&lt;=30), "Adolescent",
  AND(BikePurchase[[#This Row],[Age]]&gt;30, BikePurchase[[#This Row],[Age]]&lt;55), "Middle Aged",
  AND(BikePurchase[[#This Row],[Age]]&gt;=55, BikePurchase[[#This Row],[Age]]&lt;90), "Old",
  TRUE, "Invalid"
)</f>
        <v>Adolescent</v>
      </c>
      <c r="P92" t="s">
        <v>13</v>
      </c>
      <c r="Q92" t="str">
        <f>IF(BikePurchase[[#This Row],[Purchased BikeX]]="No","Not Purchased","Purchased")</f>
        <v>Purchased</v>
      </c>
    </row>
    <row r="93" spans="1:17" x14ac:dyDescent="0.3">
      <c r="A93">
        <v>28436</v>
      </c>
      <c r="B93" t="s">
        <v>31</v>
      </c>
      <c r="C93" t="str">
        <f t="shared" si="2"/>
        <v>Single</v>
      </c>
      <c r="D93" t="s">
        <v>30</v>
      </c>
      <c r="E93" t="str">
        <f t="shared" si="3"/>
        <v>Male</v>
      </c>
      <c r="F93" s="2">
        <v>30000</v>
      </c>
      <c r="G93">
        <v>0</v>
      </c>
      <c r="H93" t="s">
        <v>16</v>
      </c>
      <c r="I93" t="s">
        <v>17</v>
      </c>
      <c r="J93" t="s">
        <v>15</v>
      </c>
      <c r="K93">
        <v>1</v>
      </c>
      <c r="L93" t="s">
        <v>35</v>
      </c>
      <c r="M93" t="s">
        <v>14</v>
      </c>
      <c r="N93" s="2">
        <v>30</v>
      </c>
      <c r="O93" t="str" cm="1">
        <f t="array" ref="O93">_xlfn.IFS(
  AND(BikePurchase[[#This Row],[Age]]&gt;=18, BikePurchase[[#This Row],[Age]]&lt;=30), "Adolescent",
  AND(BikePurchase[[#This Row],[Age]]&gt;30, BikePurchase[[#This Row],[Age]]&lt;55), "Middle Aged",
  AND(BikePurchase[[#This Row],[Age]]&gt;=55, BikePurchase[[#This Row],[Age]]&lt;90), "Old",
  TRUE, "Invalid"
)</f>
        <v>Adolescent</v>
      </c>
      <c r="P93" t="s">
        <v>13</v>
      </c>
      <c r="Q93" t="str">
        <f>IF(BikePurchase[[#This Row],[Purchased BikeX]]="No","Not Purchased","Purchased")</f>
        <v>Purchased</v>
      </c>
    </row>
    <row r="94" spans="1:17" x14ac:dyDescent="0.3">
      <c r="A94">
        <v>19562</v>
      </c>
      <c r="B94" t="s">
        <v>31</v>
      </c>
      <c r="C94" t="str">
        <f t="shared" si="2"/>
        <v>Single</v>
      </c>
      <c r="D94" t="s">
        <v>29</v>
      </c>
      <c r="E94" t="str">
        <f t="shared" si="3"/>
        <v>Female</v>
      </c>
      <c r="F94" s="2">
        <v>60000</v>
      </c>
      <c r="G94">
        <v>2</v>
      </c>
      <c r="H94" t="s">
        <v>11</v>
      </c>
      <c r="I94" t="s">
        <v>18</v>
      </c>
      <c r="J94" t="s">
        <v>13</v>
      </c>
      <c r="K94">
        <v>1</v>
      </c>
      <c r="L94" t="s">
        <v>19</v>
      </c>
      <c r="M94" t="s">
        <v>21</v>
      </c>
      <c r="N94" s="2">
        <v>37</v>
      </c>
      <c r="O94" t="str" cm="1">
        <f t="array" ref="O94">_xlfn.IFS(
  AND(BikePurchase[[#This Row],[Age]]&gt;=18, BikePurchase[[#This Row],[Age]]&lt;=30), "Adolescent",
  AND(BikePurchase[[#This Row],[Age]]&gt;30, BikePurchase[[#This Row],[Age]]&lt;55), "Middle Aged",
  AND(BikePurchase[[#This Row],[Age]]&gt;=55, BikePurchase[[#This Row],[Age]]&lt;90), "Old",
  TRUE, "Invalid"
)</f>
        <v>Middle Aged</v>
      </c>
      <c r="P94" t="s">
        <v>13</v>
      </c>
      <c r="Q94" t="str">
        <f>IF(BikePurchase[[#This Row],[Purchased BikeX]]="No","Not Purchased","Purchased")</f>
        <v>Purchased</v>
      </c>
    </row>
    <row r="95" spans="1:17" x14ac:dyDescent="0.3">
      <c r="A95">
        <v>15608</v>
      </c>
      <c r="B95" t="s">
        <v>31</v>
      </c>
      <c r="C95" t="str">
        <f t="shared" si="2"/>
        <v>Single</v>
      </c>
      <c r="D95" t="s">
        <v>29</v>
      </c>
      <c r="E95" t="str">
        <f t="shared" si="3"/>
        <v>Female</v>
      </c>
      <c r="F95" s="2">
        <v>30000</v>
      </c>
      <c r="G95">
        <v>0</v>
      </c>
      <c r="H95" t="s">
        <v>16</v>
      </c>
      <c r="I95" t="s">
        <v>17</v>
      </c>
      <c r="J95" t="s">
        <v>15</v>
      </c>
      <c r="K95">
        <v>1</v>
      </c>
      <c r="L95" t="s">
        <v>19</v>
      </c>
      <c r="M95" t="s">
        <v>14</v>
      </c>
      <c r="N95" s="2">
        <v>33</v>
      </c>
      <c r="O95" t="str" cm="1">
        <f t="array" ref="O95">_xlfn.IFS(
  AND(BikePurchase[[#This Row],[Age]]&gt;=18, BikePurchase[[#This Row],[Age]]&lt;=30), "Adolescent",
  AND(BikePurchase[[#This Row],[Age]]&gt;30, BikePurchase[[#This Row],[Age]]&lt;55), "Middle Aged",
  AND(BikePurchase[[#This Row],[Age]]&gt;=55, BikePurchase[[#This Row],[Age]]&lt;90), "Old",
  TRUE, "Invalid"
)</f>
        <v>Middle Aged</v>
      </c>
      <c r="P95" t="s">
        <v>15</v>
      </c>
      <c r="Q95" t="str">
        <f>IF(BikePurchase[[#This Row],[Purchased BikeX]]="No","Not Purchased","Purchased")</f>
        <v>Not Purchased</v>
      </c>
    </row>
    <row r="96" spans="1:17" x14ac:dyDescent="0.3">
      <c r="A96">
        <v>16487</v>
      </c>
      <c r="B96" t="s">
        <v>31</v>
      </c>
      <c r="C96" t="str">
        <f t="shared" si="2"/>
        <v>Single</v>
      </c>
      <c r="D96" t="s">
        <v>29</v>
      </c>
      <c r="E96" t="str">
        <f t="shared" si="3"/>
        <v>Female</v>
      </c>
      <c r="F96" s="2">
        <v>30000</v>
      </c>
      <c r="G96">
        <v>3</v>
      </c>
      <c r="H96" t="s">
        <v>24</v>
      </c>
      <c r="I96" t="s">
        <v>12</v>
      </c>
      <c r="J96" t="s">
        <v>13</v>
      </c>
      <c r="K96">
        <v>2</v>
      </c>
      <c r="L96" t="s">
        <v>20</v>
      </c>
      <c r="M96" t="s">
        <v>21</v>
      </c>
      <c r="N96" s="2">
        <v>55</v>
      </c>
      <c r="O96" t="str" cm="1">
        <f t="array" ref="O96">_xlfn.IFS(
  AND(BikePurchase[[#This Row],[Age]]&gt;=18, BikePurchase[[#This Row],[Age]]&lt;=30), "Adolescent",
  AND(BikePurchase[[#This Row],[Age]]&gt;30, BikePurchase[[#This Row],[Age]]&lt;55), "Middle Aged",
  AND(BikePurchase[[#This Row],[Age]]&gt;=55, BikePurchase[[#This Row],[Age]]&lt;90), "Old",
  TRUE, "Invalid"
)</f>
        <v>Old</v>
      </c>
      <c r="P96" t="s">
        <v>15</v>
      </c>
      <c r="Q96" t="str">
        <f>IF(BikePurchase[[#This Row],[Purchased BikeX]]="No","Not Purchased","Purchased")</f>
        <v>Not Purchased</v>
      </c>
    </row>
    <row r="97" spans="1:17" x14ac:dyDescent="0.3">
      <c r="A97">
        <v>17197</v>
      </c>
      <c r="B97" t="s">
        <v>31</v>
      </c>
      <c r="C97" t="str">
        <f t="shared" si="2"/>
        <v>Single</v>
      </c>
      <c r="D97" t="s">
        <v>29</v>
      </c>
      <c r="E97" t="str">
        <f t="shared" si="3"/>
        <v>Female</v>
      </c>
      <c r="F97" s="2">
        <v>90000</v>
      </c>
      <c r="G97">
        <v>5</v>
      </c>
      <c r="H97" t="s">
        <v>16</v>
      </c>
      <c r="I97" t="s">
        <v>18</v>
      </c>
      <c r="J97" t="s">
        <v>13</v>
      </c>
      <c r="K97">
        <v>2</v>
      </c>
      <c r="L97" t="s">
        <v>48</v>
      </c>
      <c r="M97" t="s">
        <v>14</v>
      </c>
      <c r="N97" s="2">
        <v>62</v>
      </c>
      <c r="O97" t="str" cm="1">
        <f t="array" ref="O97">_xlfn.IFS(
  AND(BikePurchase[[#This Row],[Age]]&gt;=18, BikePurchase[[#This Row],[Age]]&lt;=30), "Adolescent",
  AND(BikePurchase[[#This Row],[Age]]&gt;30, BikePurchase[[#This Row],[Age]]&lt;55), "Middle Aged",
  AND(BikePurchase[[#This Row],[Age]]&gt;=55, BikePurchase[[#This Row],[Age]]&lt;90), "Old",
  TRUE, "Invalid"
)</f>
        <v>Old</v>
      </c>
      <c r="P97" t="s">
        <v>15</v>
      </c>
      <c r="Q97" t="str">
        <f>IF(BikePurchase[[#This Row],[Purchased BikeX]]="No","Not Purchased","Purchased")</f>
        <v>Not Purchased</v>
      </c>
    </row>
    <row r="98" spans="1:17" x14ac:dyDescent="0.3">
      <c r="A98">
        <v>12507</v>
      </c>
      <c r="B98" t="s">
        <v>30</v>
      </c>
      <c r="C98" t="str">
        <f t="shared" si="2"/>
        <v>Married</v>
      </c>
      <c r="D98" t="s">
        <v>30</v>
      </c>
      <c r="E98" t="str">
        <f t="shared" si="3"/>
        <v>Male</v>
      </c>
      <c r="F98" s="2">
        <v>30000</v>
      </c>
      <c r="G98">
        <v>1</v>
      </c>
      <c r="H98" t="s">
        <v>16</v>
      </c>
      <c r="I98" t="s">
        <v>17</v>
      </c>
      <c r="J98" t="s">
        <v>13</v>
      </c>
      <c r="K98">
        <v>1</v>
      </c>
      <c r="L98" t="s">
        <v>35</v>
      </c>
      <c r="M98" t="s">
        <v>14</v>
      </c>
      <c r="N98" s="2">
        <v>43</v>
      </c>
      <c r="O98" t="str" cm="1">
        <f t="array" ref="O98">_xlfn.IFS(
  AND(BikePurchase[[#This Row],[Age]]&gt;=18, BikePurchase[[#This Row],[Age]]&lt;=30), "Adolescent",
  AND(BikePurchase[[#This Row],[Age]]&gt;30, BikePurchase[[#This Row],[Age]]&lt;55), "Middle Aged",
  AND(BikePurchase[[#This Row],[Age]]&gt;=55, BikePurchase[[#This Row],[Age]]&lt;90), "Old",
  TRUE, "Invalid"
)</f>
        <v>Middle Aged</v>
      </c>
      <c r="P98" t="s">
        <v>15</v>
      </c>
      <c r="Q98" t="str">
        <f>IF(BikePurchase[[#This Row],[Purchased BikeX]]="No","Not Purchased","Purchased")</f>
        <v>Not Purchased</v>
      </c>
    </row>
    <row r="99" spans="1:17" x14ac:dyDescent="0.3">
      <c r="A99">
        <v>23940</v>
      </c>
      <c r="B99" t="s">
        <v>30</v>
      </c>
      <c r="C99" t="str">
        <f t="shared" si="2"/>
        <v>Married</v>
      </c>
      <c r="D99" t="s">
        <v>30</v>
      </c>
      <c r="E99" t="str">
        <f t="shared" si="3"/>
        <v>Male</v>
      </c>
      <c r="F99" s="2">
        <v>40000</v>
      </c>
      <c r="G99">
        <v>1</v>
      </c>
      <c r="H99" t="s">
        <v>11</v>
      </c>
      <c r="I99" t="s">
        <v>12</v>
      </c>
      <c r="J99" t="s">
        <v>13</v>
      </c>
      <c r="K99">
        <v>1</v>
      </c>
      <c r="L99" t="s">
        <v>35</v>
      </c>
      <c r="M99" t="s">
        <v>14</v>
      </c>
      <c r="N99" s="2">
        <v>44</v>
      </c>
      <c r="O99" t="str" cm="1">
        <f t="array" ref="O99">_xlfn.IFS(
  AND(BikePurchase[[#This Row],[Age]]&gt;=18, BikePurchase[[#This Row],[Age]]&lt;=30), "Adolescent",
  AND(BikePurchase[[#This Row],[Age]]&gt;30, BikePurchase[[#This Row],[Age]]&lt;55), "Middle Aged",
  AND(BikePurchase[[#This Row],[Age]]&gt;=55, BikePurchase[[#This Row],[Age]]&lt;90), "Old",
  TRUE, "Invalid"
)</f>
        <v>Middle Aged</v>
      </c>
      <c r="P99" t="s">
        <v>13</v>
      </c>
      <c r="Q99" t="str">
        <f>IF(BikePurchase[[#This Row],[Purchased BikeX]]="No","Not Purchased","Purchased")</f>
        <v>Purchased</v>
      </c>
    </row>
    <row r="100" spans="1:17" x14ac:dyDescent="0.3">
      <c r="A100">
        <v>19441</v>
      </c>
      <c r="B100" t="s">
        <v>30</v>
      </c>
      <c r="C100" t="str">
        <f t="shared" si="2"/>
        <v>Married</v>
      </c>
      <c r="D100" t="s">
        <v>30</v>
      </c>
      <c r="E100" t="str">
        <f t="shared" si="3"/>
        <v>Male</v>
      </c>
      <c r="F100" s="2">
        <v>40000</v>
      </c>
      <c r="G100">
        <v>0</v>
      </c>
      <c r="H100" t="s">
        <v>27</v>
      </c>
      <c r="I100" t="s">
        <v>17</v>
      </c>
      <c r="J100" t="s">
        <v>13</v>
      </c>
      <c r="K100">
        <v>0</v>
      </c>
      <c r="L100" t="s">
        <v>35</v>
      </c>
      <c r="M100" t="s">
        <v>14</v>
      </c>
      <c r="N100" s="2">
        <v>25</v>
      </c>
      <c r="O100" t="str" cm="1">
        <f t="array" ref="O100">_xlfn.IFS(
  AND(BikePurchase[[#This Row],[Age]]&gt;=18, BikePurchase[[#This Row],[Age]]&lt;=30), "Adolescent",
  AND(BikePurchase[[#This Row],[Age]]&gt;30, BikePurchase[[#This Row],[Age]]&lt;55), "Middle Aged",
  AND(BikePurchase[[#This Row],[Age]]&gt;=55, BikePurchase[[#This Row],[Age]]&lt;90), "Old",
  TRUE, "Invalid"
)</f>
        <v>Adolescent</v>
      </c>
      <c r="P100" t="s">
        <v>13</v>
      </c>
      <c r="Q100" t="str">
        <f>IF(BikePurchase[[#This Row],[Purchased BikeX]]="No","Not Purchased","Purchased")</f>
        <v>Purchased</v>
      </c>
    </row>
    <row r="101" spans="1:17" x14ac:dyDescent="0.3">
      <c r="A101">
        <v>26852</v>
      </c>
      <c r="B101" t="s">
        <v>30</v>
      </c>
      <c r="C101" t="str">
        <f t="shared" si="2"/>
        <v>Married</v>
      </c>
      <c r="D101" t="s">
        <v>29</v>
      </c>
      <c r="E101" t="str">
        <f t="shared" si="3"/>
        <v>Female</v>
      </c>
      <c r="F101" s="2">
        <v>20000</v>
      </c>
      <c r="G101">
        <v>3</v>
      </c>
      <c r="H101" t="s">
        <v>24</v>
      </c>
      <c r="I101" t="s">
        <v>22</v>
      </c>
      <c r="J101" t="s">
        <v>13</v>
      </c>
      <c r="K101">
        <v>2</v>
      </c>
      <c r="L101" t="s">
        <v>35</v>
      </c>
      <c r="M101" t="s">
        <v>14</v>
      </c>
      <c r="N101" s="2">
        <v>43</v>
      </c>
      <c r="O101" t="str" cm="1">
        <f t="array" ref="O101">_xlfn.IFS(
  AND(BikePurchase[[#This Row],[Age]]&gt;=18, BikePurchase[[#This Row],[Age]]&lt;=30), "Adolescent",
  AND(BikePurchase[[#This Row],[Age]]&gt;30, BikePurchase[[#This Row],[Age]]&lt;55), "Middle Aged",
  AND(BikePurchase[[#This Row],[Age]]&gt;=55, BikePurchase[[#This Row],[Age]]&lt;90), "Old",
  TRUE, "Invalid"
)</f>
        <v>Middle Aged</v>
      </c>
      <c r="P101" t="s">
        <v>15</v>
      </c>
      <c r="Q101" t="str">
        <f>IF(BikePurchase[[#This Row],[Purchased BikeX]]="No","Not Purchased","Purchased")</f>
        <v>Not Purchased</v>
      </c>
    </row>
    <row r="102" spans="1:17" x14ac:dyDescent="0.3">
      <c r="A102">
        <v>12274</v>
      </c>
      <c r="B102" t="s">
        <v>31</v>
      </c>
      <c r="C102" t="str">
        <f t="shared" si="2"/>
        <v>Single</v>
      </c>
      <c r="D102" t="s">
        <v>30</v>
      </c>
      <c r="E102" t="str">
        <f t="shared" si="3"/>
        <v>Male</v>
      </c>
      <c r="F102" s="2">
        <v>10000</v>
      </c>
      <c r="G102">
        <v>2</v>
      </c>
      <c r="H102" t="s">
        <v>24</v>
      </c>
      <c r="I102" t="s">
        <v>22</v>
      </c>
      <c r="J102" t="s">
        <v>13</v>
      </c>
      <c r="K102">
        <v>0</v>
      </c>
      <c r="L102" t="s">
        <v>35</v>
      </c>
      <c r="M102" t="s">
        <v>14</v>
      </c>
      <c r="N102" s="2">
        <v>35</v>
      </c>
      <c r="O102" t="str" cm="1">
        <f t="array" ref="O102">_xlfn.IFS(
  AND(BikePurchase[[#This Row],[Age]]&gt;=18, BikePurchase[[#This Row],[Age]]&lt;=30), "Adolescent",
  AND(BikePurchase[[#This Row],[Age]]&gt;30, BikePurchase[[#This Row],[Age]]&lt;55), "Middle Aged",
  AND(BikePurchase[[#This Row],[Age]]&gt;=55, BikePurchase[[#This Row],[Age]]&lt;90), "Old",
  TRUE, "Invalid"
)</f>
        <v>Middle Aged</v>
      </c>
      <c r="P102" t="s">
        <v>15</v>
      </c>
      <c r="Q102" t="str">
        <f>IF(BikePurchase[[#This Row],[Purchased BikeX]]="No","Not Purchased","Purchased")</f>
        <v>Not Purchased</v>
      </c>
    </row>
    <row r="103" spans="1:17" x14ac:dyDescent="0.3">
      <c r="A103">
        <v>20236</v>
      </c>
      <c r="B103" t="s">
        <v>31</v>
      </c>
      <c r="C103" t="str">
        <f t="shared" si="2"/>
        <v>Single</v>
      </c>
      <c r="D103" t="s">
        <v>30</v>
      </c>
      <c r="E103" t="str">
        <f t="shared" si="3"/>
        <v>Male</v>
      </c>
      <c r="F103" s="2">
        <v>60000</v>
      </c>
      <c r="G103">
        <v>3</v>
      </c>
      <c r="H103" t="s">
        <v>11</v>
      </c>
      <c r="I103" t="s">
        <v>18</v>
      </c>
      <c r="J103" t="s">
        <v>15</v>
      </c>
      <c r="K103">
        <v>2</v>
      </c>
      <c r="L103" t="s">
        <v>35</v>
      </c>
      <c r="M103" t="s">
        <v>21</v>
      </c>
      <c r="N103" s="2">
        <v>43</v>
      </c>
      <c r="O103" t="str" cm="1">
        <f t="array" ref="O103">_xlfn.IFS(
  AND(BikePurchase[[#This Row],[Age]]&gt;=18, BikePurchase[[#This Row],[Age]]&lt;=30), "Adolescent",
  AND(BikePurchase[[#This Row],[Age]]&gt;30, BikePurchase[[#This Row],[Age]]&lt;55), "Middle Aged",
  AND(BikePurchase[[#This Row],[Age]]&gt;=55, BikePurchase[[#This Row],[Age]]&lt;90), "Old",
  TRUE, "Invalid"
)</f>
        <v>Middle Aged</v>
      </c>
      <c r="P103" t="s">
        <v>13</v>
      </c>
      <c r="Q103" t="str">
        <f>IF(BikePurchase[[#This Row],[Purchased BikeX]]="No","Not Purchased","Purchased")</f>
        <v>Purchased</v>
      </c>
    </row>
    <row r="104" spans="1:17" x14ac:dyDescent="0.3">
      <c r="A104">
        <v>24149</v>
      </c>
      <c r="B104" t="s">
        <v>30</v>
      </c>
      <c r="C104" t="str">
        <f t="shared" si="2"/>
        <v>Married</v>
      </c>
      <c r="D104" t="s">
        <v>30</v>
      </c>
      <c r="E104" t="str">
        <f t="shared" si="3"/>
        <v>Male</v>
      </c>
      <c r="F104" s="2">
        <v>10000</v>
      </c>
      <c r="G104">
        <v>2</v>
      </c>
      <c r="H104" t="s">
        <v>16</v>
      </c>
      <c r="I104" t="s">
        <v>22</v>
      </c>
      <c r="J104" t="s">
        <v>13</v>
      </c>
      <c r="K104">
        <v>0</v>
      </c>
      <c r="L104" t="s">
        <v>23</v>
      </c>
      <c r="M104" t="s">
        <v>14</v>
      </c>
      <c r="N104" s="2">
        <v>49</v>
      </c>
      <c r="O104" t="str" cm="1">
        <f t="array" ref="O104">_xlfn.IFS(
  AND(BikePurchase[[#This Row],[Age]]&gt;=18, BikePurchase[[#This Row],[Age]]&lt;=30), "Adolescent",
  AND(BikePurchase[[#This Row],[Age]]&gt;30, BikePurchase[[#This Row],[Age]]&lt;55), "Middle Aged",
  AND(BikePurchase[[#This Row],[Age]]&gt;=55, BikePurchase[[#This Row],[Age]]&lt;90), "Old",
  TRUE, "Invalid"
)</f>
        <v>Middle Aged</v>
      </c>
      <c r="P104" t="s">
        <v>15</v>
      </c>
      <c r="Q104" t="str">
        <f>IF(BikePurchase[[#This Row],[Purchased BikeX]]="No","Not Purchased","Purchased")</f>
        <v>Not Purchased</v>
      </c>
    </row>
    <row r="105" spans="1:17" x14ac:dyDescent="0.3">
      <c r="A105">
        <v>26139</v>
      </c>
      <c r="B105" t="s">
        <v>31</v>
      </c>
      <c r="C105" t="str">
        <f t="shared" si="2"/>
        <v>Single</v>
      </c>
      <c r="D105" t="s">
        <v>30</v>
      </c>
      <c r="E105" t="str">
        <f t="shared" si="3"/>
        <v>Male</v>
      </c>
      <c r="F105" s="2">
        <v>60000</v>
      </c>
      <c r="G105">
        <v>1</v>
      </c>
      <c r="H105" t="s">
        <v>16</v>
      </c>
      <c r="I105" t="s">
        <v>12</v>
      </c>
      <c r="J105" t="s">
        <v>13</v>
      </c>
      <c r="K105">
        <v>1</v>
      </c>
      <c r="L105" t="s">
        <v>20</v>
      </c>
      <c r="M105" t="s">
        <v>21</v>
      </c>
      <c r="N105" s="2">
        <v>45</v>
      </c>
      <c r="O105" t="str" cm="1">
        <f t="array" ref="O105">_xlfn.IFS(
  AND(BikePurchase[[#This Row],[Age]]&gt;=18, BikePurchase[[#This Row],[Age]]&lt;=30), "Adolescent",
  AND(BikePurchase[[#This Row],[Age]]&gt;30, BikePurchase[[#This Row],[Age]]&lt;55), "Middle Aged",
  AND(BikePurchase[[#This Row],[Age]]&gt;=55, BikePurchase[[#This Row],[Age]]&lt;90), "Old",
  TRUE, "Invalid"
)</f>
        <v>Middle Aged</v>
      </c>
      <c r="P105" t="s">
        <v>15</v>
      </c>
      <c r="Q105" t="str">
        <f>IF(BikePurchase[[#This Row],[Purchased BikeX]]="No","Not Purchased","Purchased")</f>
        <v>Not Purchased</v>
      </c>
    </row>
    <row r="106" spans="1:17" x14ac:dyDescent="0.3">
      <c r="A106">
        <v>18491</v>
      </c>
      <c r="B106" t="s">
        <v>31</v>
      </c>
      <c r="C106" t="str">
        <f t="shared" si="2"/>
        <v>Single</v>
      </c>
      <c r="D106" t="s">
        <v>29</v>
      </c>
      <c r="E106" t="str">
        <f t="shared" si="3"/>
        <v>Female</v>
      </c>
      <c r="F106" s="2">
        <v>70000</v>
      </c>
      <c r="G106">
        <v>2</v>
      </c>
      <c r="H106" t="s">
        <v>24</v>
      </c>
      <c r="I106" t="s">
        <v>18</v>
      </c>
      <c r="J106" t="s">
        <v>13</v>
      </c>
      <c r="K106">
        <v>2</v>
      </c>
      <c r="L106" t="s">
        <v>20</v>
      </c>
      <c r="M106" t="s">
        <v>21</v>
      </c>
      <c r="N106" s="2">
        <v>49</v>
      </c>
      <c r="O106" t="str" cm="1">
        <f t="array" ref="O106">_xlfn.IFS(
  AND(BikePurchase[[#This Row],[Age]]&gt;=18, BikePurchase[[#This Row],[Age]]&lt;=30), "Adolescent",
  AND(BikePurchase[[#This Row],[Age]]&gt;30, BikePurchase[[#This Row],[Age]]&lt;55), "Middle Aged",
  AND(BikePurchase[[#This Row],[Age]]&gt;=55, BikePurchase[[#This Row],[Age]]&lt;90), "Old",
  TRUE, "Invalid"
)</f>
        <v>Middle Aged</v>
      </c>
      <c r="P106" t="s">
        <v>13</v>
      </c>
      <c r="Q106" t="str">
        <f>IF(BikePurchase[[#This Row],[Purchased BikeX]]="No","Not Purchased","Purchased")</f>
        <v>Purchased</v>
      </c>
    </row>
    <row r="107" spans="1:17" x14ac:dyDescent="0.3">
      <c r="A107">
        <v>22707</v>
      </c>
      <c r="B107" t="s">
        <v>31</v>
      </c>
      <c r="C107" t="str">
        <f t="shared" si="2"/>
        <v>Single</v>
      </c>
      <c r="D107" t="s">
        <v>29</v>
      </c>
      <c r="E107" t="str">
        <f t="shared" si="3"/>
        <v>Female</v>
      </c>
      <c r="F107" s="2">
        <v>30000</v>
      </c>
      <c r="G107">
        <v>0</v>
      </c>
      <c r="H107" t="s">
        <v>16</v>
      </c>
      <c r="I107" t="s">
        <v>17</v>
      </c>
      <c r="J107" t="s">
        <v>15</v>
      </c>
      <c r="K107">
        <v>1</v>
      </c>
      <c r="L107" t="s">
        <v>19</v>
      </c>
      <c r="M107" t="s">
        <v>14</v>
      </c>
      <c r="N107" s="2">
        <v>30</v>
      </c>
      <c r="O107" t="str" cm="1">
        <f t="array" ref="O107">_xlfn.IFS(
  AND(BikePurchase[[#This Row],[Age]]&gt;=18, BikePurchase[[#This Row],[Age]]&lt;=30), "Adolescent",
  AND(BikePurchase[[#This Row],[Age]]&gt;30, BikePurchase[[#This Row],[Age]]&lt;55), "Middle Aged",
  AND(BikePurchase[[#This Row],[Age]]&gt;=55, BikePurchase[[#This Row],[Age]]&lt;90), "Old",
  TRUE, "Invalid"
)</f>
        <v>Adolescent</v>
      </c>
      <c r="P107" t="s">
        <v>15</v>
      </c>
      <c r="Q107" t="str">
        <f>IF(BikePurchase[[#This Row],[Purchased BikeX]]="No","Not Purchased","Purchased")</f>
        <v>Not Purchased</v>
      </c>
    </row>
    <row r="108" spans="1:17" x14ac:dyDescent="0.3">
      <c r="A108">
        <v>20430</v>
      </c>
      <c r="B108" t="s">
        <v>30</v>
      </c>
      <c r="C108" t="str">
        <f t="shared" si="2"/>
        <v>Married</v>
      </c>
      <c r="D108" t="s">
        <v>30</v>
      </c>
      <c r="E108" t="str">
        <f t="shared" si="3"/>
        <v>Male</v>
      </c>
      <c r="F108" s="2">
        <v>70000</v>
      </c>
      <c r="G108">
        <v>2</v>
      </c>
      <c r="H108" t="s">
        <v>16</v>
      </c>
      <c r="I108" t="s">
        <v>12</v>
      </c>
      <c r="J108" t="s">
        <v>13</v>
      </c>
      <c r="K108">
        <v>2</v>
      </c>
      <c r="L108" t="s">
        <v>20</v>
      </c>
      <c r="M108" t="s">
        <v>21</v>
      </c>
      <c r="N108" s="2">
        <v>52</v>
      </c>
      <c r="O108" t="str" cm="1">
        <f t="array" ref="O108">_xlfn.IFS(
  AND(BikePurchase[[#This Row],[Age]]&gt;=18, BikePurchase[[#This Row],[Age]]&lt;=30), "Adolescent",
  AND(BikePurchase[[#This Row],[Age]]&gt;30, BikePurchase[[#This Row],[Age]]&lt;55), "Middle Aged",
  AND(BikePurchase[[#This Row],[Age]]&gt;=55, BikePurchase[[#This Row],[Age]]&lt;90), "Old",
  TRUE, "Invalid"
)</f>
        <v>Middle Aged</v>
      </c>
      <c r="P108" t="s">
        <v>13</v>
      </c>
      <c r="Q108" t="str">
        <f>IF(BikePurchase[[#This Row],[Purchased BikeX]]="No","Not Purchased","Purchased")</f>
        <v>Purchased</v>
      </c>
    </row>
    <row r="109" spans="1:17" x14ac:dyDescent="0.3">
      <c r="A109">
        <v>27494</v>
      </c>
      <c r="B109" t="s">
        <v>31</v>
      </c>
      <c r="C109" t="str">
        <f t="shared" si="2"/>
        <v>Single</v>
      </c>
      <c r="D109" t="s">
        <v>29</v>
      </c>
      <c r="E109" t="str">
        <f t="shared" si="3"/>
        <v>Female</v>
      </c>
      <c r="F109" s="2">
        <v>40000</v>
      </c>
      <c r="G109">
        <v>2</v>
      </c>
      <c r="H109" t="s">
        <v>16</v>
      </c>
      <c r="I109" t="s">
        <v>12</v>
      </c>
      <c r="J109" t="s">
        <v>15</v>
      </c>
      <c r="K109">
        <v>2</v>
      </c>
      <c r="L109" t="s">
        <v>23</v>
      </c>
      <c r="M109" t="s">
        <v>21</v>
      </c>
      <c r="N109" s="2">
        <v>53</v>
      </c>
      <c r="O109" t="str" cm="1">
        <f t="array" ref="O109">_xlfn.IFS(
  AND(BikePurchase[[#This Row],[Age]]&gt;=18, BikePurchase[[#This Row],[Age]]&lt;=30), "Adolescent",
  AND(BikePurchase[[#This Row],[Age]]&gt;30, BikePurchase[[#This Row],[Age]]&lt;55), "Middle Aged",
  AND(BikePurchase[[#This Row],[Age]]&gt;=55, BikePurchase[[#This Row],[Age]]&lt;90), "Old",
  TRUE, "Invalid"
)</f>
        <v>Middle Aged</v>
      </c>
      <c r="P109" t="s">
        <v>13</v>
      </c>
      <c r="Q109" t="str">
        <f>IF(BikePurchase[[#This Row],[Purchased BikeX]]="No","Not Purchased","Purchased")</f>
        <v>Purchased</v>
      </c>
    </row>
    <row r="110" spans="1:17" x14ac:dyDescent="0.3">
      <c r="A110">
        <v>26829</v>
      </c>
      <c r="B110" t="s">
        <v>30</v>
      </c>
      <c r="C110" t="str">
        <f t="shared" si="2"/>
        <v>Married</v>
      </c>
      <c r="D110" t="s">
        <v>29</v>
      </c>
      <c r="E110" t="str">
        <f t="shared" si="3"/>
        <v>Female</v>
      </c>
      <c r="F110" s="2">
        <v>40000</v>
      </c>
      <c r="G110">
        <v>0</v>
      </c>
      <c r="H110" t="s">
        <v>11</v>
      </c>
      <c r="I110" t="s">
        <v>17</v>
      </c>
      <c r="J110" t="s">
        <v>13</v>
      </c>
      <c r="K110">
        <v>0</v>
      </c>
      <c r="L110" t="s">
        <v>35</v>
      </c>
      <c r="M110" t="s">
        <v>14</v>
      </c>
      <c r="N110" s="2">
        <v>38</v>
      </c>
      <c r="O110" t="str" cm="1">
        <f t="array" ref="O110">_xlfn.IFS(
  AND(BikePurchase[[#This Row],[Age]]&gt;=18, BikePurchase[[#This Row],[Age]]&lt;=30), "Adolescent",
  AND(BikePurchase[[#This Row],[Age]]&gt;30, BikePurchase[[#This Row],[Age]]&lt;55), "Middle Aged",
  AND(BikePurchase[[#This Row],[Age]]&gt;=55, BikePurchase[[#This Row],[Age]]&lt;90), "Old",
  TRUE, "Invalid"
)</f>
        <v>Middle Aged</v>
      </c>
      <c r="P110" t="s">
        <v>13</v>
      </c>
      <c r="Q110" t="str">
        <f>IF(BikePurchase[[#This Row],[Purchased BikeX]]="No","Not Purchased","Purchased")</f>
        <v>Purchased</v>
      </c>
    </row>
    <row r="111" spans="1:17" x14ac:dyDescent="0.3">
      <c r="A111">
        <v>28395</v>
      </c>
      <c r="B111" t="s">
        <v>31</v>
      </c>
      <c r="C111" t="str">
        <f t="shared" si="2"/>
        <v>Single</v>
      </c>
      <c r="D111" t="s">
        <v>30</v>
      </c>
      <c r="E111" t="str">
        <f t="shared" si="3"/>
        <v>Male</v>
      </c>
      <c r="F111" s="2">
        <v>40000</v>
      </c>
      <c r="G111">
        <v>0</v>
      </c>
      <c r="H111" t="s">
        <v>11</v>
      </c>
      <c r="I111" t="s">
        <v>18</v>
      </c>
      <c r="J111" t="s">
        <v>15</v>
      </c>
      <c r="K111">
        <v>0</v>
      </c>
      <c r="L111" t="s">
        <v>35</v>
      </c>
      <c r="M111" t="s">
        <v>14</v>
      </c>
      <c r="N111" s="2">
        <v>39</v>
      </c>
      <c r="O111" t="str" cm="1">
        <f t="array" ref="O111">_xlfn.IFS(
  AND(BikePurchase[[#This Row],[Age]]&gt;=18, BikePurchase[[#This Row],[Age]]&lt;=30), "Adolescent",
  AND(BikePurchase[[#This Row],[Age]]&gt;30, BikePurchase[[#This Row],[Age]]&lt;55), "Middle Aged",
  AND(BikePurchase[[#This Row],[Age]]&gt;=55, BikePurchase[[#This Row],[Age]]&lt;90), "Old",
  TRUE, "Invalid"
)</f>
        <v>Middle Aged</v>
      </c>
      <c r="P111" t="s">
        <v>13</v>
      </c>
      <c r="Q111" t="str">
        <f>IF(BikePurchase[[#This Row],[Purchased BikeX]]="No","Not Purchased","Purchased")</f>
        <v>Purchased</v>
      </c>
    </row>
    <row r="112" spans="1:17" x14ac:dyDescent="0.3">
      <c r="A112">
        <v>21006</v>
      </c>
      <c r="B112" t="s">
        <v>31</v>
      </c>
      <c r="C112" t="str">
        <f t="shared" si="2"/>
        <v>Single</v>
      </c>
      <c r="D112" t="s">
        <v>29</v>
      </c>
      <c r="E112" t="str">
        <f t="shared" si="3"/>
        <v>Female</v>
      </c>
      <c r="F112" s="2">
        <v>30000</v>
      </c>
      <c r="G112">
        <v>1</v>
      </c>
      <c r="H112" t="s">
        <v>16</v>
      </c>
      <c r="I112" t="s">
        <v>22</v>
      </c>
      <c r="J112" t="s">
        <v>15</v>
      </c>
      <c r="K112">
        <v>0</v>
      </c>
      <c r="L112" t="s">
        <v>35</v>
      </c>
      <c r="M112" t="s">
        <v>14</v>
      </c>
      <c r="N112" s="2">
        <v>46</v>
      </c>
      <c r="O112" t="str" cm="1">
        <f t="array" ref="O112">_xlfn.IFS(
  AND(BikePurchase[[#This Row],[Age]]&gt;=18, BikePurchase[[#This Row],[Age]]&lt;=30), "Adolescent",
  AND(BikePurchase[[#This Row],[Age]]&gt;30, BikePurchase[[#This Row],[Age]]&lt;55), "Middle Aged",
  AND(BikePurchase[[#This Row],[Age]]&gt;=55, BikePurchase[[#This Row],[Age]]&lt;90), "Old",
  TRUE, "Invalid"
)</f>
        <v>Middle Aged</v>
      </c>
      <c r="P112" t="s">
        <v>13</v>
      </c>
      <c r="Q112" t="str">
        <f>IF(BikePurchase[[#This Row],[Purchased BikeX]]="No","Not Purchased","Purchased")</f>
        <v>Purchased</v>
      </c>
    </row>
    <row r="113" spans="1:17" x14ac:dyDescent="0.3">
      <c r="A113">
        <v>14682</v>
      </c>
      <c r="B113" t="s">
        <v>31</v>
      </c>
      <c r="C113" t="str">
        <f t="shared" si="2"/>
        <v>Single</v>
      </c>
      <c r="D113" t="s">
        <v>29</v>
      </c>
      <c r="E113" t="str">
        <f t="shared" si="3"/>
        <v>Female</v>
      </c>
      <c r="F113" s="2">
        <v>70000</v>
      </c>
      <c r="G113">
        <v>0</v>
      </c>
      <c r="H113" t="s">
        <v>11</v>
      </c>
      <c r="I113" t="s">
        <v>18</v>
      </c>
      <c r="J113" t="s">
        <v>15</v>
      </c>
      <c r="K113">
        <v>1</v>
      </c>
      <c r="L113" t="s">
        <v>20</v>
      </c>
      <c r="M113" t="s">
        <v>21</v>
      </c>
      <c r="N113" s="2">
        <v>38</v>
      </c>
      <c r="O113" t="str" cm="1">
        <f t="array" ref="O113">_xlfn.IFS(
  AND(BikePurchase[[#This Row],[Age]]&gt;=18, BikePurchase[[#This Row],[Age]]&lt;=30), "Adolescent",
  AND(BikePurchase[[#This Row],[Age]]&gt;30, BikePurchase[[#This Row],[Age]]&lt;55), "Middle Aged",
  AND(BikePurchase[[#This Row],[Age]]&gt;=55, BikePurchase[[#This Row],[Age]]&lt;90), "Old",
  TRUE, "Invalid"
)</f>
        <v>Middle Aged</v>
      </c>
      <c r="P113" t="s">
        <v>15</v>
      </c>
      <c r="Q113" t="str">
        <f>IF(BikePurchase[[#This Row],[Purchased BikeX]]="No","Not Purchased","Purchased")</f>
        <v>Not Purchased</v>
      </c>
    </row>
    <row r="114" spans="1:17" x14ac:dyDescent="0.3">
      <c r="A114">
        <v>17650</v>
      </c>
      <c r="B114" t="s">
        <v>31</v>
      </c>
      <c r="C114" t="str">
        <f t="shared" si="2"/>
        <v>Single</v>
      </c>
      <c r="D114" t="s">
        <v>29</v>
      </c>
      <c r="E114" t="str">
        <f t="shared" si="3"/>
        <v>Female</v>
      </c>
      <c r="F114" s="2">
        <v>40000</v>
      </c>
      <c r="G114">
        <v>2</v>
      </c>
      <c r="H114" t="s">
        <v>16</v>
      </c>
      <c r="I114" t="s">
        <v>17</v>
      </c>
      <c r="J114" t="s">
        <v>13</v>
      </c>
      <c r="K114">
        <v>2</v>
      </c>
      <c r="L114" t="s">
        <v>23</v>
      </c>
      <c r="M114" t="s">
        <v>14</v>
      </c>
      <c r="N114" s="2">
        <v>35</v>
      </c>
      <c r="O114" t="str" cm="1">
        <f t="array" ref="O114">_xlfn.IFS(
  AND(BikePurchase[[#This Row],[Age]]&gt;=18, BikePurchase[[#This Row],[Age]]&lt;=30), "Adolescent",
  AND(BikePurchase[[#This Row],[Age]]&gt;30, BikePurchase[[#This Row],[Age]]&lt;55), "Middle Aged",
  AND(BikePurchase[[#This Row],[Age]]&gt;=55, BikePurchase[[#This Row],[Age]]&lt;90), "Old",
  TRUE, "Invalid"
)</f>
        <v>Middle Aged</v>
      </c>
      <c r="P114" t="s">
        <v>15</v>
      </c>
      <c r="Q114" t="str">
        <f>IF(BikePurchase[[#This Row],[Purchased BikeX]]="No","Not Purchased","Purchased")</f>
        <v>Not Purchased</v>
      </c>
    </row>
    <row r="115" spans="1:17" x14ac:dyDescent="0.3">
      <c r="A115">
        <v>29191</v>
      </c>
      <c r="B115" t="s">
        <v>31</v>
      </c>
      <c r="C115" t="str">
        <f t="shared" si="2"/>
        <v>Single</v>
      </c>
      <c r="D115" t="s">
        <v>29</v>
      </c>
      <c r="E115" t="str">
        <f t="shared" si="3"/>
        <v>Female</v>
      </c>
      <c r="F115" s="2">
        <v>130000</v>
      </c>
      <c r="G115">
        <v>1</v>
      </c>
      <c r="H115" t="s">
        <v>27</v>
      </c>
      <c r="I115" t="s">
        <v>25</v>
      </c>
      <c r="J115" t="s">
        <v>15</v>
      </c>
      <c r="K115">
        <v>1</v>
      </c>
      <c r="L115" t="s">
        <v>35</v>
      </c>
      <c r="M115" t="s">
        <v>21</v>
      </c>
      <c r="N115" s="2">
        <v>36</v>
      </c>
      <c r="O115" t="str" cm="1">
        <f t="array" ref="O115">_xlfn.IFS(
  AND(BikePurchase[[#This Row],[Age]]&gt;=18, BikePurchase[[#This Row],[Age]]&lt;=30), "Adolescent",
  AND(BikePurchase[[#This Row],[Age]]&gt;30, BikePurchase[[#This Row],[Age]]&lt;55), "Middle Aged",
  AND(BikePurchase[[#This Row],[Age]]&gt;=55, BikePurchase[[#This Row],[Age]]&lt;90), "Old",
  TRUE, "Invalid"
)</f>
        <v>Middle Aged</v>
      </c>
      <c r="P115" t="s">
        <v>13</v>
      </c>
      <c r="Q115" t="str">
        <f>IF(BikePurchase[[#This Row],[Purchased BikeX]]="No","Not Purchased","Purchased")</f>
        <v>Purchased</v>
      </c>
    </row>
    <row r="116" spans="1:17" x14ac:dyDescent="0.3">
      <c r="A116">
        <v>15030</v>
      </c>
      <c r="B116" t="s">
        <v>30</v>
      </c>
      <c r="C116" t="str">
        <f t="shared" si="2"/>
        <v>Married</v>
      </c>
      <c r="D116" t="s">
        <v>30</v>
      </c>
      <c r="E116" t="str">
        <f t="shared" si="3"/>
        <v>Male</v>
      </c>
      <c r="F116" s="2">
        <v>20000</v>
      </c>
      <c r="G116">
        <v>0</v>
      </c>
      <c r="H116" t="s">
        <v>11</v>
      </c>
      <c r="I116" t="s">
        <v>17</v>
      </c>
      <c r="J116" t="s">
        <v>13</v>
      </c>
      <c r="K116">
        <v>0</v>
      </c>
      <c r="L116" t="s">
        <v>35</v>
      </c>
      <c r="M116" t="s">
        <v>21</v>
      </c>
      <c r="N116" s="2">
        <v>26</v>
      </c>
      <c r="O116" t="str" cm="1">
        <f t="array" ref="O116">_xlfn.IFS(
  AND(BikePurchase[[#This Row],[Age]]&gt;=18, BikePurchase[[#This Row],[Age]]&lt;=30), "Adolescent",
  AND(BikePurchase[[#This Row],[Age]]&gt;30, BikePurchase[[#This Row],[Age]]&lt;55), "Middle Aged",
  AND(BikePurchase[[#This Row],[Age]]&gt;=55, BikePurchase[[#This Row],[Age]]&lt;90), "Old",
  TRUE, "Invalid"
)</f>
        <v>Adolescent</v>
      </c>
      <c r="P116" t="s">
        <v>13</v>
      </c>
      <c r="Q116" t="str">
        <f>IF(BikePurchase[[#This Row],[Purchased BikeX]]="No","Not Purchased","Purchased")</f>
        <v>Purchased</v>
      </c>
    </row>
    <row r="117" spans="1:17" x14ac:dyDescent="0.3">
      <c r="A117">
        <v>24140</v>
      </c>
      <c r="B117" t="s">
        <v>31</v>
      </c>
      <c r="C117" t="str">
        <f t="shared" si="2"/>
        <v>Single</v>
      </c>
      <c r="D117" t="s">
        <v>30</v>
      </c>
      <c r="E117" t="str">
        <f t="shared" si="3"/>
        <v>Male</v>
      </c>
      <c r="F117" s="2">
        <v>10000</v>
      </c>
      <c r="G117">
        <v>0</v>
      </c>
      <c r="H117" t="s">
        <v>27</v>
      </c>
      <c r="I117" t="s">
        <v>22</v>
      </c>
      <c r="J117" t="s">
        <v>15</v>
      </c>
      <c r="K117">
        <v>0</v>
      </c>
      <c r="L117" t="s">
        <v>35</v>
      </c>
      <c r="M117" t="s">
        <v>14</v>
      </c>
      <c r="N117" s="2">
        <v>30</v>
      </c>
      <c r="O117" t="str" cm="1">
        <f t="array" ref="O117">_xlfn.IFS(
  AND(BikePurchase[[#This Row],[Age]]&gt;=18, BikePurchase[[#This Row],[Age]]&lt;=30), "Adolescent",
  AND(BikePurchase[[#This Row],[Age]]&gt;30, BikePurchase[[#This Row],[Age]]&lt;55), "Middle Aged",
  AND(BikePurchase[[#This Row],[Age]]&gt;=55, BikePurchase[[#This Row],[Age]]&lt;90), "Old",
  TRUE, "Invalid"
)</f>
        <v>Adolescent</v>
      </c>
      <c r="P117" t="s">
        <v>13</v>
      </c>
      <c r="Q117" t="str">
        <f>IF(BikePurchase[[#This Row],[Purchased BikeX]]="No","Not Purchased","Purchased")</f>
        <v>Purchased</v>
      </c>
    </row>
    <row r="118" spans="1:17" x14ac:dyDescent="0.3">
      <c r="A118">
        <v>22496</v>
      </c>
      <c r="B118" t="s">
        <v>30</v>
      </c>
      <c r="C118" t="str">
        <f t="shared" si="2"/>
        <v>Married</v>
      </c>
      <c r="D118" t="s">
        <v>29</v>
      </c>
      <c r="E118" t="str">
        <f t="shared" si="3"/>
        <v>Female</v>
      </c>
      <c r="F118" s="2">
        <v>30000</v>
      </c>
      <c r="G118">
        <v>1</v>
      </c>
      <c r="H118" t="s">
        <v>11</v>
      </c>
      <c r="I118" t="s">
        <v>12</v>
      </c>
      <c r="J118" t="s">
        <v>13</v>
      </c>
      <c r="K118">
        <v>2</v>
      </c>
      <c r="L118" t="s">
        <v>35</v>
      </c>
      <c r="M118" t="s">
        <v>14</v>
      </c>
      <c r="N118" s="2">
        <v>42</v>
      </c>
      <c r="O118" t="str" cm="1">
        <f t="array" ref="O118">_xlfn.IFS(
  AND(BikePurchase[[#This Row],[Age]]&gt;=18, BikePurchase[[#This Row],[Age]]&lt;=30), "Adolescent",
  AND(BikePurchase[[#This Row],[Age]]&gt;30, BikePurchase[[#This Row],[Age]]&lt;55), "Middle Aged",
  AND(BikePurchase[[#This Row],[Age]]&gt;=55, BikePurchase[[#This Row],[Age]]&lt;90), "Old",
  TRUE, "Invalid"
)</f>
        <v>Middle Aged</v>
      </c>
      <c r="P118" t="s">
        <v>15</v>
      </c>
      <c r="Q118" t="str">
        <f>IF(BikePurchase[[#This Row],[Purchased BikeX]]="No","Not Purchased","Purchased")</f>
        <v>Not Purchased</v>
      </c>
    </row>
    <row r="119" spans="1:17" x14ac:dyDescent="0.3">
      <c r="A119">
        <v>24065</v>
      </c>
      <c r="B119" t="s">
        <v>31</v>
      </c>
      <c r="C119" t="str">
        <f t="shared" si="2"/>
        <v>Single</v>
      </c>
      <c r="D119" t="s">
        <v>29</v>
      </c>
      <c r="E119" t="str">
        <f t="shared" si="3"/>
        <v>Female</v>
      </c>
      <c r="F119" s="2">
        <v>20000</v>
      </c>
      <c r="G119">
        <v>0</v>
      </c>
      <c r="H119" t="s">
        <v>24</v>
      </c>
      <c r="I119" t="s">
        <v>22</v>
      </c>
      <c r="J119" t="s">
        <v>13</v>
      </c>
      <c r="K119">
        <v>0</v>
      </c>
      <c r="L119" t="s">
        <v>35</v>
      </c>
      <c r="M119" t="s">
        <v>14</v>
      </c>
      <c r="N119" s="2">
        <v>40</v>
      </c>
      <c r="O119" t="str" cm="1">
        <f t="array" ref="O119">_xlfn.IFS(
  AND(BikePurchase[[#This Row],[Age]]&gt;=18, BikePurchase[[#This Row],[Age]]&lt;=30), "Adolescent",
  AND(BikePurchase[[#This Row],[Age]]&gt;30, BikePurchase[[#This Row],[Age]]&lt;55), "Middle Aged",
  AND(BikePurchase[[#This Row],[Age]]&gt;=55, BikePurchase[[#This Row],[Age]]&lt;90), "Old",
  TRUE, "Invalid"
)</f>
        <v>Middle Aged</v>
      </c>
      <c r="P119" t="s">
        <v>13</v>
      </c>
      <c r="Q119" t="str">
        <f>IF(BikePurchase[[#This Row],[Purchased BikeX]]="No","Not Purchased","Purchased")</f>
        <v>Purchased</v>
      </c>
    </row>
    <row r="120" spans="1:17" x14ac:dyDescent="0.3">
      <c r="A120">
        <v>19914</v>
      </c>
      <c r="B120" t="s">
        <v>30</v>
      </c>
      <c r="C120" t="str">
        <f t="shared" si="2"/>
        <v>Married</v>
      </c>
      <c r="D120" t="s">
        <v>30</v>
      </c>
      <c r="E120" t="str">
        <f t="shared" si="3"/>
        <v>Male</v>
      </c>
      <c r="F120" s="2">
        <v>80000</v>
      </c>
      <c r="G120">
        <v>5</v>
      </c>
      <c r="H120" t="s">
        <v>11</v>
      </c>
      <c r="I120" t="s">
        <v>25</v>
      </c>
      <c r="J120" t="s">
        <v>13</v>
      </c>
      <c r="K120">
        <v>2</v>
      </c>
      <c r="L120" t="s">
        <v>19</v>
      </c>
      <c r="M120" t="s">
        <v>14</v>
      </c>
      <c r="N120" s="2">
        <v>62</v>
      </c>
      <c r="O120" t="str" cm="1">
        <f t="array" ref="O120">_xlfn.IFS(
  AND(BikePurchase[[#This Row],[Age]]&gt;=18, BikePurchase[[#This Row],[Age]]&lt;=30), "Adolescent",
  AND(BikePurchase[[#This Row],[Age]]&gt;30, BikePurchase[[#This Row],[Age]]&lt;55), "Middle Aged",
  AND(BikePurchase[[#This Row],[Age]]&gt;=55, BikePurchase[[#This Row],[Age]]&lt;90), "Old",
  TRUE, "Invalid"
)</f>
        <v>Old</v>
      </c>
      <c r="P120" t="s">
        <v>15</v>
      </c>
      <c r="Q120" t="str">
        <f>IF(BikePurchase[[#This Row],[Purchased BikeX]]="No","Not Purchased","Purchased")</f>
        <v>Not Purchased</v>
      </c>
    </row>
    <row r="121" spans="1:17" x14ac:dyDescent="0.3">
      <c r="A121">
        <v>12871</v>
      </c>
      <c r="B121" t="s">
        <v>31</v>
      </c>
      <c r="C121" t="str">
        <f t="shared" si="2"/>
        <v>Single</v>
      </c>
      <c r="D121" t="s">
        <v>29</v>
      </c>
      <c r="E121" t="str">
        <f t="shared" si="3"/>
        <v>Female</v>
      </c>
      <c r="F121" s="2">
        <v>30000</v>
      </c>
      <c r="G121">
        <v>0</v>
      </c>
      <c r="H121" t="s">
        <v>16</v>
      </c>
      <c r="I121" t="s">
        <v>17</v>
      </c>
      <c r="J121" t="s">
        <v>15</v>
      </c>
      <c r="K121">
        <v>1</v>
      </c>
      <c r="L121" t="s">
        <v>19</v>
      </c>
      <c r="M121" t="s">
        <v>14</v>
      </c>
      <c r="N121" s="2">
        <v>29</v>
      </c>
      <c r="O121" t="str" cm="1">
        <f t="array" ref="O121">_xlfn.IFS(
  AND(BikePurchase[[#This Row],[Age]]&gt;=18, BikePurchase[[#This Row],[Age]]&lt;=30), "Adolescent",
  AND(BikePurchase[[#This Row],[Age]]&gt;30, BikePurchase[[#This Row],[Age]]&lt;55), "Middle Aged",
  AND(BikePurchase[[#This Row],[Age]]&gt;=55, BikePurchase[[#This Row],[Age]]&lt;90), "Old",
  TRUE, "Invalid"
)</f>
        <v>Adolescent</v>
      </c>
      <c r="P121" t="s">
        <v>15</v>
      </c>
      <c r="Q121" t="str">
        <f>IF(BikePurchase[[#This Row],[Purchased BikeX]]="No","Not Purchased","Purchased")</f>
        <v>Not Purchased</v>
      </c>
    </row>
    <row r="122" spans="1:17" x14ac:dyDescent="0.3">
      <c r="A122">
        <v>22988</v>
      </c>
      <c r="B122" t="s">
        <v>30</v>
      </c>
      <c r="C122" t="str">
        <f t="shared" si="2"/>
        <v>Married</v>
      </c>
      <c r="D122" t="s">
        <v>29</v>
      </c>
      <c r="E122" t="str">
        <f t="shared" si="3"/>
        <v>Female</v>
      </c>
      <c r="F122" s="2">
        <v>40000</v>
      </c>
      <c r="G122">
        <v>2</v>
      </c>
      <c r="H122" t="s">
        <v>11</v>
      </c>
      <c r="I122" t="s">
        <v>25</v>
      </c>
      <c r="J122" t="s">
        <v>13</v>
      </c>
      <c r="K122">
        <v>2</v>
      </c>
      <c r="L122" t="s">
        <v>20</v>
      </c>
      <c r="M122" t="s">
        <v>21</v>
      </c>
      <c r="N122" s="2">
        <v>66</v>
      </c>
      <c r="O122" t="str" cm="1">
        <f t="array" ref="O122">_xlfn.IFS(
  AND(BikePurchase[[#This Row],[Age]]&gt;=18, BikePurchase[[#This Row],[Age]]&lt;=30), "Adolescent",
  AND(BikePurchase[[#This Row],[Age]]&gt;30, BikePurchase[[#This Row],[Age]]&lt;55), "Middle Aged",
  AND(BikePurchase[[#This Row],[Age]]&gt;=55, BikePurchase[[#This Row],[Age]]&lt;90), "Old",
  TRUE, "Invalid"
)</f>
        <v>Old</v>
      </c>
      <c r="P122" t="s">
        <v>13</v>
      </c>
      <c r="Q122" t="str">
        <f>IF(BikePurchase[[#This Row],[Purchased BikeX]]="No","Not Purchased","Purchased")</f>
        <v>Purchased</v>
      </c>
    </row>
    <row r="123" spans="1:17" x14ac:dyDescent="0.3">
      <c r="A123">
        <v>15922</v>
      </c>
      <c r="B123" t="s">
        <v>30</v>
      </c>
      <c r="C123" t="str">
        <f t="shared" si="2"/>
        <v>Married</v>
      </c>
      <c r="D123" t="s">
        <v>30</v>
      </c>
      <c r="E123" t="str">
        <f t="shared" si="3"/>
        <v>Male</v>
      </c>
      <c r="F123" s="2">
        <v>150000</v>
      </c>
      <c r="G123">
        <v>2</v>
      </c>
      <c r="H123" t="s">
        <v>24</v>
      </c>
      <c r="I123" t="s">
        <v>18</v>
      </c>
      <c r="J123" t="s">
        <v>13</v>
      </c>
      <c r="K123">
        <v>4</v>
      </c>
      <c r="L123" t="s">
        <v>35</v>
      </c>
      <c r="M123" t="s">
        <v>14</v>
      </c>
      <c r="N123" s="2">
        <v>48</v>
      </c>
      <c r="O123" t="str" cm="1">
        <f t="array" ref="O123">_xlfn.IFS(
  AND(BikePurchase[[#This Row],[Age]]&gt;=18, BikePurchase[[#This Row],[Age]]&lt;=30), "Adolescent",
  AND(BikePurchase[[#This Row],[Age]]&gt;30, BikePurchase[[#This Row],[Age]]&lt;55), "Middle Aged",
  AND(BikePurchase[[#This Row],[Age]]&gt;=55, BikePurchase[[#This Row],[Age]]&lt;90), "Old",
  TRUE, "Invalid"
)</f>
        <v>Middle Aged</v>
      </c>
      <c r="P123" t="s">
        <v>15</v>
      </c>
      <c r="Q123" t="str">
        <f>IF(BikePurchase[[#This Row],[Purchased BikeX]]="No","Not Purchased","Purchased")</f>
        <v>Not Purchased</v>
      </c>
    </row>
    <row r="124" spans="1:17" x14ac:dyDescent="0.3">
      <c r="A124">
        <v>12344</v>
      </c>
      <c r="B124" t="s">
        <v>31</v>
      </c>
      <c r="C124" t="str">
        <f t="shared" si="2"/>
        <v>Single</v>
      </c>
      <c r="D124" t="s">
        <v>29</v>
      </c>
      <c r="E124" t="str">
        <f t="shared" si="3"/>
        <v>Female</v>
      </c>
      <c r="F124" s="2">
        <v>80000</v>
      </c>
      <c r="G124">
        <v>0</v>
      </c>
      <c r="H124" t="s">
        <v>11</v>
      </c>
      <c r="I124" t="s">
        <v>18</v>
      </c>
      <c r="J124" t="s">
        <v>15</v>
      </c>
      <c r="K124">
        <v>3</v>
      </c>
      <c r="L124" t="s">
        <v>48</v>
      </c>
      <c r="M124" t="s">
        <v>21</v>
      </c>
      <c r="N124" s="2">
        <v>31</v>
      </c>
      <c r="O124" t="str" cm="1">
        <f t="array" ref="O124">_xlfn.IFS(
  AND(BikePurchase[[#This Row],[Age]]&gt;=18, BikePurchase[[#This Row],[Age]]&lt;=30), "Adolescent",
  AND(BikePurchase[[#This Row],[Age]]&gt;30, BikePurchase[[#This Row],[Age]]&lt;55), "Middle Aged",
  AND(BikePurchase[[#This Row],[Age]]&gt;=55, BikePurchase[[#This Row],[Age]]&lt;90), "Old",
  TRUE, "Invalid"
)</f>
        <v>Middle Aged</v>
      </c>
      <c r="P124" t="s">
        <v>15</v>
      </c>
      <c r="Q124" t="str">
        <f>IF(BikePurchase[[#This Row],[Purchased BikeX]]="No","Not Purchased","Purchased")</f>
        <v>Not Purchased</v>
      </c>
    </row>
    <row r="125" spans="1:17" x14ac:dyDescent="0.3">
      <c r="A125">
        <v>23627</v>
      </c>
      <c r="B125" t="s">
        <v>31</v>
      </c>
      <c r="C125" t="str">
        <f t="shared" si="2"/>
        <v>Single</v>
      </c>
      <c r="D125" t="s">
        <v>29</v>
      </c>
      <c r="E125" t="str">
        <f t="shared" si="3"/>
        <v>Female</v>
      </c>
      <c r="F125" s="2">
        <v>100000</v>
      </c>
      <c r="G125">
        <v>3</v>
      </c>
      <c r="H125" t="s">
        <v>16</v>
      </c>
      <c r="I125" t="s">
        <v>25</v>
      </c>
      <c r="J125" t="s">
        <v>15</v>
      </c>
      <c r="K125">
        <v>4</v>
      </c>
      <c r="L125" t="s">
        <v>20</v>
      </c>
      <c r="M125" t="s">
        <v>14</v>
      </c>
      <c r="N125" s="2">
        <v>56</v>
      </c>
      <c r="O125" t="str" cm="1">
        <f t="array" ref="O125">_xlfn.IFS(
  AND(BikePurchase[[#This Row],[Age]]&gt;=18, BikePurchase[[#This Row],[Age]]&lt;=30), "Adolescent",
  AND(BikePurchase[[#This Row],[Age]]&gt;30, BikePurchase[[#This Row],[Age]]&lt;55), "Middle Aged",
  AND(BikePurchase[[#This Row],[Age]]&gt;=55, BikePurchase[[#This Row],[Age]]&lt;90), "Old",
  TRUE, "Invalid"
)</f>
        <v>Old</v>
      </c>
      <c r="P125" t="s">
        <v>15</v>
      </c>
      <c r="Q125" t="str">
        <f>IF(BikePurchase[[#This Row],[Purchased BikeX]]="No","Not Purchased","Purchased")</f>
        <v>Not Purchased</v>
      </c>
    </row>
    <row r="126" spans="1:17" x14ac:dyDescent="0.3">
      <c r="A126">
        <v>27775</v>
      </c>
      <c r="B126" t="s">
        <v>31</v>
      </c>
      <c r="C126" t="str">
        <f t="shared" si="2"/>
        <v>Single</v>
      </c>
      <c r="D126" t="s">
        <v>29</v>
      </c>
      <c r="E126" t="str">
        <f t="shared" si="3"/>
        <v>Female</v>
      </c>
      <c r="F126" s="2">
        <v>40000</v>
      </c>
      <c r="G126">
        <v>0</v>
      </c>
      <c r="H126" t="s">
        <v>11</v>
      </c>
      <c r="I126" t="s">
        <v>17</v>
      </c>
      <c r="J126" t="s">
        <v>15</v>
      </c>
      <c r="K126">
        <v>0</v>
      </c>
      <c r="L126" t="s">
        <v>35</v>
      </c>
      <c r="M126" t="s">
        <v>14</v>
      </c>
      <c r="N126" s="2">
        <v>38</v>
      </c>
      <c r="O126" t="str" cm="1">
        <f t="array" ref="O126">_xlfn.IFS(
  AND(BikePurchase[[#This Row],[Age]]&gt;=18, BikePurchase[[#This Row],[Age]]&lt;=30), "Adolescent",
  AND(BikePurchase[[#This Row],[Age]]&gt;30, BikePurchase[[#This Row],[Age]]&lt;55), "Middle Aged",
  AND(BikePurchase[[#This Row],[Age]]&gt;=55, BikePurchase[[#This Row],[Age]]&lt;90), "Old",
  TRUE, "Invalid"
)</f>
        <v>Middle Aged</v>
      </c>
      <c r="P126" t="s">
        <v>13</v>
      </c>
      <c r="Q126" t="str">
        <f>IF(BikePurchase[[#This Row],[Purchased BikeX]]="No","Not Purchased","Purchased")</f>
        <v>Purchased</v>
      </c>
    </row>
    <row r="127" spans="1:17" x14ac:dyDescent="0.3">
      <c r="A127">
        <v>29301</v>
      </c>
      <c r="B127" t="s">
        <v>30</v>
      </c>
      <c r="C127" t="str">
        <f t="shared" si="2"/>
        <v>Married</v>
      </c>
      <c r="D127" t="s">
        <v>30</v>
      </c>
      <c r="E127" t="str">
        <f t="shared" si="3"/>
        <v>Male</v>
      </c>
      <c r="F127" s="2">
        <v>80000</v>
      </c>
      <c r="G127">
        <v>5</v>
      </c>
      <c r="H127" t="s">
        <v>11</v>
      </c>
      <c r="I127" t="s">
        <v>18</v>
      </c>
      <c r="J127" t="s">
        <v>13</v>
      </c>
      <c r="K127">
        <v>4</v>
      </c>
      <c r="L127" t="s">
        <v>23</v>
      </c>
      <c r="M127" t="s">
        <v>21</v>
      </c>
      <c r="N127" s="2">
        <v>40</v>
      </c>
      <c r="O127" t="str" cm="1">
        <f t="array" ref="O127">_xlfn.IFS(
  AND(BikePurchase[[#This Row],[Age]]&gt;=18, BikePurchase[[#This Row],[Age]]&lt;=30), "Adolescent",
  AND(BikePurchase[[#This Row],[Age]]&gt;30, BikePurchase[[#This Row],[Age]]&lt;55), "Middle Aged",
  AND(BikePurchase[[#This Row],[Age]]&gt;=55, BikePurchase[[#This Row],[Age]]&lt;90), "Old",
  TRUE, "Invalid"
)</f>
        <v>Middle Aged</v>
      </c>
      <c r="P127" t="s">
        <v>15</v>
      </c>
      <c r="Q127" t="str">
        <f>IF(BikePurchase[[#This Row],[Purchased BikeX]]="No","Not Purchased","Purchased")</f>
        <v>Not Purchased</v>
      </c>
    </row>
    <row r="128" spans="1:17" x14ac:dyDescent="0.3">
      <c r="A128">
        <v>12716</v>
      </c>
      <c r="B128" t="s">
        <v>31</v>
      </c>
      <c r="C128" t="str">
        <f t="shared" si="2"/>
        <v>Single</v>
      </c>
      <c r="D128" t="s">
        <v>30</v>
      </c>
      <c r="E128" t="str">
        <f t="shared" si="3"/>
        <v>Male</v>
      </c>
      <c r="F128" s="2">
        <v>30000</v>
      </c>
      <c r="G128">
        <v>0</v>
      </c>
      <c r="H128" t="s">
        <v>16</v>
      </c>
      <c r="I128" t="s">
        <v>17</v>
      </c>
      <c r="J128" t="s">
        <v>13</v>
      </c>
      <c r="K128">
        <v>1</v>
      </c>
      <c r="L128" t="s">
        <v>19</v>
      </c>
      <c r="M128" t="s">
        <v>14</v>
      </c>
      <c r="N128" s="2">
        <v>32</v>
      </c>
      <c r="O128" t="str" cm="1">
        <f t="array" ref="O128">_xlfn.IFS(
  AND(BikePurchase[[#This Row],[Age]]&gt;=18, BikePurchase[[#This Row],[Age]]&lt;=30), "Adolescent",
  AND(BikePurchase[[#This Row],[Age]]&gt;30, BikePurchase[[#This Row],[Age]]&lt;55), "Middle Aged",
  AND(BikePurchase[[#This Row],[Age]]&gt;=55, BikePurchase[[#This Row],[Age]]&lt;90), "Old",
  TRUE, "Invalid"
)</f>
        <v>Middle Aged</v>
      </c>
      <c r="P128" t="s">
        <v>15</v>
      </c>
      <c r="Q128" t="str">
        <f>IF(BikePurchase[[#This Row],[Purchased BikeX]]="No","Not Purchased","Purchased")</f>
        <v>Not Purchased</v>
      </c>
    </row>
    <row r="129" spans="1:17" x14ac:dyDescent="0.3">
      <c r="A129">
        <v>12472</v>
      </c>
      <c r="B129" t="s">
        <v>30</v>
      </c>
      <c r="C129" t="str">
        <f t="shared" si="2"/>
        <v>Married</v>
      </c>
      <c r="D129" t="s">
        <v>30</v>
      </c>
      <c r="E129" t="str">
        <f t="shared" si="3"/>
        <v>Male</v>
      </c>
      <c r="F129" s="2">
        <v>30000</v>
      </c>
      <c r="G129">
        <v>1</v>
      </c>
      <c r="H129" t="s">
        <v>11</v>
      </c>
      <c r="I129" t="s">
        <v>17</v>
      </c>
      <c r="J129" t="s">
        <v>13</v>
      </c>
      <c r="K129">
        <v>1</v>
      </c>
      <c r="L129" t="s">
        <v>19</v>
      </c>
      <c r="M129" t="s">
        <v>14</v>
      </c>
      <c r="N129" s="2">
        <v>39</v>
      </c>
      <c r="O129" t="str" cm="1">
        <f t="array" ref="O129">_xlfn.IFS(
  AND(BikePurchase[[#This Row],[Age]]&gt;=18, BikePurchase[[#This Row],[Age]]&lt;=30), "Adolescent",
  AND(BikePurchase[[#This Row],[Age]]&gt;30, BikePurchase[[#This Row],[Age]]&lt;55), "Middle Aged",
  AND(BikePurchase[[#This Row],[Age]]&gt;=55, BikePurchase[[#This Row],[Age]]&lt;90), "Old",
  TRUE, "Invalid"
)</f>
        <v>Middle Aged</v>
      </c>
      <c r="P129" t="s">
        <v>15</v>
      </c>
      <c r="Q129" t="str">
        <f>IF(BikePurchase[[#This Row],[Purchased BikeX]]="No","Not Purchased","Purchased")</f>
        <v>Not Purchased</v>
      </c>
    </row>
    <row r="130" spans="1:17" x14ac:dyDescent="0.3">
      <c r="A130">
        <v>20970</v>
      </c>
      <c r="B130" t="s">
        <v>31</v>
      </c>
      <c r="C130" t="str">
        <f t="shared" ref="C130:C193" si="4">IF(B130="M","Married","Single")</f>
        <v>Single</v>
      </c>
      <c r="D130" t="s">
        <v>30</v>
      </c>
      <c r="E130" t="str">
        <f t="shared" ref="E130:E193" si="5">IF(D130="F","Female","Male")</f>
        <v>Male</v>
      </c>
      <c r="F130" s="2">
        <v>10000</v>
      </c>
      <c r="G130">
        <v>2</v>
      </c>
      <c r="H130" t="s">
        <v>16</v>
      </c>
      <c r="I130" t="s">
        <v>22</v>
      </c>
      <c r="J130" t="s">
        <v>13</v>
      </c>
      <c r="K130">
        <v>1</v>
      </c>
      <c r="L130" t="s">
        <v>35</v>
      </c>
      <c r="M130" t="s">
        <v>14</v>
      </c>
      <c r="N130" s="2">
        <v>52</v>
      </c>
      <c r="O130" t="str" cm="1">
        <f t="array" ref="O130">_xlfn.IFS(
  AND(BikePurchase[[#This Row],[Age]]&gt;=18, BikePurchase[[#This Row],[Age]]&lt;=30), "Adolescent",
  AND(BikePurchase[[#This Row],[Age]]&gt;30, BikePurchase[[#This Row],[Age]]&lt;55), "Middle Aged",
  AND(BikePurchase[[#This Row],[Age]]&gt;=55, BikePurchase[[#This Row],[Age]]&lt;90), "Old",
  TRUE, "Invalid"
)</f>
        <v>Middle Aged</v>
      </c>
      <c r="P130" t="s">
        <v>13</v>
      </c>
      <c r="Q130" t="str">
        <f>IF(BikePurchase[[#This Row],[Purchased BikeX]]="No","Not Purchased","Purchased")</f>
        <v>Purchased</v>
      </c>
    </row>
    <row r="131" spans="1:17" x14ac:dyDescent="0.3">
      <c r="A131">
        <v>26818</v>
      </c>
      <c r="B131" t="s">
        <v>31</v>
      </c>
      <c r="C131" t="str">
        <f t="shared" si="4"/>
        <v>Single</v>
      </c>
      <c r="D131" t="s">
        <v>30</v>
      </c>
      <c r="E131" t="str">
        <f t="shared" si="5"/>
        <v>Male</v>
      </c>
      <c r="F131" s="2">
        <v>10000</v>
      </c>
      <c r="G131">
        <v>3</v>
      </c>
      <c r="H131" t="s">
        <v>24</v>
      </c>
      <c r="I131" t="s">
        <v>22</v>
      </c>
      <c r="J131" t="s">
        <v>13</v>
      </c>
      <c r="K131">
        <v>1</v>
      </c>
      <c r="L131" t="s">
        <v>35</v>
      </c>
      <c r="M131" t="s">
        <v>14</v>
      </c>
      <c r="N131" s="2">
        <v>39</v>
      </c>
      <c r="O131" t="str" cm="1">
        <f t="array" ref="O131">_xlfn.IFS(
  AND(BikePurchase[[#This Row],[Age]]&gt;=18, BikePurchase[[#This Row],[Age]]&lt;=30), "Adolescent",
  AND(BikePurchase[[#This Row],[Age]]&gt;30, BikePurchase[[#This Row],[Age]]&lt;55), "Middle Aged",
  AND(BikePurchase[[#This Row],[Age]]&gt;=55, BikePurchase[[#This Row],[Age]]&lt;90), "Old",
  TRUE, "Invalid"
)</f>
        <v>Middle Aged</v>
      </c>
      <c r="P131" t="s">
        <v>13</v>
      </c>
      <c r="Q131" t="str">
        <f>IF(BikePurchase[[#This Row],[Purchased BikeX]]="No","Not Purchased","Purchased")</f>
        <v>Purchased</v>
      </c>
    </row>
    <row r="132" spans="1:17" x14ac:dyDescent="0.3">
      <c r="A132">
        <v>12993</v>
      </c>
      <c r="B132" t="s">
        <v>30</v>
      </c>
      <c r="C132" t="str">
        <f t="shared" si="4"/>
        <v>Married</v>
      </c>
      <c r="D132" t="s">
        <v>30</v>
      </c>
      <c r="E132" t="str">
        <f t="shared" si="5"/>
        <v>Male</v>
      </c>
      <c r="F132" s="2">
        <v>60000</v>
      </c>
      <c r="G132">
        <v>2</v>
      </c>
      <c r="H132" t="s">
        <v>11</v>
      </c>
      <c r="I132" t="s">
        <v>18</v>
      </c>
      <c r="J132" t="s">
        <v>13</v>
      </c>
      <c r="K132">
        <v>1</v>
      </c>
      <c r="L132" t="s">
        <v>19</v>
      </c>
      <c r="M132" t="s">
        <v>21</v>
      </c>
      <c r="N132" s="2">
        <v>37</v>
      </c>
      <c r="O132" t="str" cm="1">
        <f t="array" ref="O132">_xlfn.IFS(
  AND(BikePurchase[[#This Row],[Age]]&gt;=18, BikePurchase[[#This Row],[Age]]&lt;=30), "Adolescent",
  AND(BikePurchase[[#This Row],[Age]]&gt;30, BikePurchase[[#This Row],[Age]]&lt;55), "Middle Aged",
  AND(BikePurchase[[#This Row],[Age]]&gt;=55, BikePurchase[[#This Row],[Age]]&lt;90), "Old",
  TRUE, "Invalid"
)</f>
        <v>Middle Aged</v>
      </c>
      <c r="P132" t="s">
        <v>15</v>
      </c>
      <c r="Q132" t="str">
        <f>IF(BikePurchase[[#This Row],[Purchased BikeX]]="No","Not Purchased","Purchased")</f>
        <v>Not Purchased</v>
      </c>
    </row>
    <row r="133" spans="1:17" x14ac:dyDescent="0.3">
      <c r="A133">
        <v>14192</v>
      </c>
      <c r="B133" t="s">
        <v>30</v>
      </c>
      <c r="C133" t="str">
        <f t="shared" si="4"/>
        <v>Married</v>
      </c>
      <c r="D133" t="s">
        <v>30</v>
      </c>
      <c r="E133" t="str">
        <f t="shared" si="5"/>
        <v>Male</v>
      </c>
      <c r="F133" s="2">
        <v>90000</v>
      </c>
      <c r="G133">
        <v>4</v>
      </c>
      <c r="H133" t="s">
        <v>24</v>
      </c>
      <c r="I133" t="s">
        <v>25</v>
      </c>
      <c r="J133" t="s">
        <v>13</v>
      </c>
      <c r="K133">
        <v>3</v>
      </c>
      <c r="L133" t="s">
        <v>20</v>
      </c>
      <c r="M133" t="s">
        <v>14</v>
      </c>
      <c r="N133" s="2">
        <v>56</v>
      </c>
      <c r="O133" t="str" cm="1">
        <f t="array" ref="O133">_xlfn.IFS(
  AND(BikePurchase[[#This Row],[Age]]&gt;=18, BikePurchase[[#This Row],[Age]]&lt;=30), "Adolescent",
  AND(BikePurchase[[#This Row],[Age]]&gt;30, BikePurchase[[#This Row],[Age]]&lt;55), "Middle Aged",
  AND(BikePurchase[[#This Row],[Age]]&gt;=55, BikePurchase[[#This Row],[Age]]&lt;90), "Old",
  TRUE, "Invalid"
)</f>
        <v>Old</v>
      </c>
      <c r="P133" t="s">
        <v>13</v>
      </c>
      <c r="Q133" t="str">
        <f>IF(BikePurchase[[#This Row],[Purchased BikeX]]="No","Not Purchased","Purchased")</f>
        <v>Purchased</v>
      </c>
    </row>
    <row r="134" spans="1:17" x14ac:dyDescent="0.3">
      <c r="A134">
        <v>19477</v>
      </c>
      <c r="B134" t="s">
        <v>30</v>
      </c>
      <c r="C134" t="str">
        <f t="shared" si="4"/>
        <v>Married</v>
      </c>
      <c r="D134" t="s">
        <v>30</v>
      </c>
      <c r="E134" t="str">
        <f t="shared" si="5"/>
        <v>Male</v>
      </c>
      <c r="F134" s="2">
        <v>40000</v>
      </c>
      <c r="G134">
        <v>0</v>
      </c>
      <c r="H134" t="s">
        <v>11</v>
      </c>
      <c r="I134" t="s">
        <v>18</v>
      </c>
      <c r="J134" t="s">
        <v>13</v>
      </c>
      <c r="K134">
        <v>0</v>
      </c>
      <c r="L134" t="s">
        <v>35</v>
      </c>
      <c r="M134" t="s">
        <v>14</v>
      </c>
      <c r="N134" s="2">
        <v>40</v>
      </c>
      <c r="O134" t="str" cm="1">
        <f t="array" ref="O134">_xlfn.IFS(
  AND(BikePurchase[[#This Row],[Age]]&gt;=18, BikePurchase[[#This Row],[Age]]&lt;=30), "Adolescent",
  AND(BikePurchase[[#This Row],[Age]]&gt;30, BikePurchase[[#This Row],[Age]]&lt;55), "Middle Aged",
  AND(BikePurchase[[#This Row],[Age]]&gt;=55, BikePurchase[[#This Row],[Age]]&lt;90), "Old",
  TRUE, "Invalid"
)</f>
        <v>Middle Aged</v>
      </c>
      <c r="P134" t="s">
        <v>13</v>
      </c>
      <c r="Q134" t="str">
        <f>IF(BikePurchase[[#This Row],[Purchased BikeX]]="No","Not Purchased","Purchased")</f>
        <v>Purchased</v>
      </c>
    </row>
    <row r="135" spans="1:17" x14ac:dyDescent="0.3">
      <c r="A135">
        <v>26796</v>
      </c>
      <c r="B135" t="s">
        <v>31</v>
      </c>
      <c r="C135" t="str">
        <f t="shared" si="4"/>
        <v>Single</v>
      </c>
      <c r="D135" t="s">
        <v>30</v>
      </c>
      <c r="E135" t="str">
        <f t="shared" si="5"/>
        <v>Male</v>
      </c>
      <c r="F135" s="2">
        <v>40000</v>
      </c>
      <c r="G135">
        <v>2</v>
      </c>
      <c r="H135" t="s">
        <v>11</v>
      </c>
      <c r="I135" t="s">
        <v>25</v>
      </c>
      <c r="J135" t="s">
        <v>13</v>
      </c>
      <c r="K135">
        <v>2</v>
      </c>
      <c r="L135" t="s">
        <v>20</v>
      </c>
      <c r="M135" t="s">
        <v>21</v>
      </c>
      <c r="N135" s="2">
        <v>65</v>
      </c>
      <c r="O135" t="str" cm="1">
        <f t="array" ref="O135">_xlfn.IFS(
  AND(BikePurchase[[#This Row],[Age]]&gt;=18, BikePurchase[[#This Row],[Age]]&lt;=30), "Adolescent",
  AND(BikePurchase[[#This Row],[Age]]&gt;30, BikePurchase[[#This Row],[Age]]&lt;55), "Middle Aged",
  AND(BikePurchase[[#This Row],[Age]]&gt;=55, BikePurchase[[#This Row],[Age]]&lt;90), "Old",
  TRUE, "Invalid"
)</f>
        <v>Old</v>
      </c>
      <c r="P135" t="s">
        <v>13</v>
      </c>
      <c r="Q135" t="str">
        <f>IF(BikePurchase[[#This Row],[Purchased BikeX]]="No","Not Purchased","Purchased")</f>
        <v>Purchased</v>
      </c>
    </row>
    <row r="136" spans="1:17" x14ac:dyDescent="0.3">
      <c r="A136">
        <v>21094</v>
      </c>
      <c r="B136" t="s">
        <v>31</v>
      </c>
      <c r="C136" t="str">
        <f t="shared" si="4"/>
        <v>Single</v>
      </c>
      <c r="D136" t="s">
        <v>29</v>
      </c>
      <c r="E136" t="str">
        <f t="shared" si="5"/>
        <v>Female</v>
      </c>
      <c r="F136" s="2">
        <v>30000</v>
      </c>
      <c r="G136">
        <v>2</v>
      </c>
      <c r="H136" t="s">
        <v>16</v>
      </c>
      <c r="I136" t="s">
        <v>17</v>
      </c>
      <c r="J136" t="s">
        <v>13</v>
      </c>
      <c r="K136">
        <v>2</v>
      </c>
      <c r="L136" t="s">
        <v>35</v>
      </c>
      <c r="M136" t="s">
        <v>14</v>
      </c>
      <c r="N136" s="2">
        <v>42</v>
      </c>
      <c r="O136" t="str" cm="1">
        <f t="array" ref="O136">_xlfn.IFS(
  AND(BikePurchase[[#This Row],[Age]]&gt;=18, BikePurchase[[#This Row],[Age]]&lt;=30), "Adolescent",
  AND(BikePurchase[[#This Row],[Age]]&gt;30, BikePurchase[[#This Row],[Age]]&lt;55), "Middle Aged",
  AND(BikePurchase[[#This Row],[Age]]&gt;=55, BikePurchase[[#This Row],[Age]]&lt;90), "Old",
  TRUE, "Invalid"
)</f>
        <v>Middle Aged</v>
      </c>
      <c r="P136" t="s">
        <v>15</v>
      </c>
      <c r="Q136" t="str">
        <f>IF(BikePurchase[[#This Row],[Purchased BikeX]]="No","Not Purchased","Purchased")</f>
        <v>Not Purchased</v>
      </c>
    </row>
    <row r="137" spans="1:17" x14ac:dyDescent="0.3">
      <c r="A137">
        <v>12234</v>
      </c>
      <c r="B137" t="s">
        <v>30</v>
      </c>
      <c r="C137" t="str">
        <f t="shared" si="4"/>
        <v>Married</v>
      </c>
      <c r="D137" t="s">
        <v>30</v>
      </c>
      <c r="E137" t="str">
        <f t="shared" si="5"/>
        <v>Male</v>
      </c>
      <c r="F137" s="2">
        <v>10000</v>
      </c>
      <c r="G137">
        <v>2</v>
      </c>
      <c r="H137" t="s">
        <v>16</v>
      </c>
      <c r="I137" t="s">
        <v>22</v>
      </c>
      <c r="J137" t="s">
        <v>13</v>
      </c>
      <c r="K137">
        <v>1</v>
      </c>
      <c r="L137" t="s">
        <v>19</v>
      </c>
      <c r="M137" t="s">
        <v>14</v>
      </c>
      <c r="N137" s="2">
        <v>52</v>
      </c>
      <c r="O137" t="str" cm="1">
        <f t="array" ref="O137">_xlfn.IFS(
  AND(BikePurchase[[#This Row],[Age]]&gt;=18, BikePurchase[[#This Row],[Age]]&lt;=30), "Adolescent",
  AND(BikePurchase[[#This Row],[Age]]&gt;30, BikePurchase[[#This Row],[Age]]&lt;55), "Middle Aged",
  AND(BikePurchase[[#This Row],[Age]]&gt;=55, BikePurchase[[#This Row],[Age]]&lt;90), "Old",
  TRUE, "Invalid"
)</f>
        <v>Middle Aged</v>
      </c>
      <c r="P137" t="s">
        <v>15</v>
      </c>
      <c r="Q137" t="str">
        <f>IF(BikePurchase[[#This Row],[Purchased BikeX]]="No","Not Purchased","Purchased")</f>
        <v>Not Purchased</v>
      </c>
    </row>
    <row r="138" spans="1:17" x14ac:dyDescent="0.3">
      <c r="A138">
        <v>28683</v>
      </c>
      <c r="B138" t="s">
        <v>31</v>
      </c>
      <c r="C138" t="str">
        <f t="shared" si="4"/>
        <v>Single</v>
      </c>
      <c r="D138" t="s">
        <v>29</v>
      </c>
      <c r="E138" t="str">
        <f t="shared" si="5"/>
        <v>Female</v>
      </c>
      <c r="F138" s="2">
        <v>10000</v>
      </c>
      <c r="G138">
        <v>1</v>
      </c>
      <c r="H138" t="s">
        <v>24</v>
      </c>
      <c r="I138" t="s">
        <v>22</v>
      </c>
      <c r="J138" t="s">
        <v>15</v>
      </c>
      <c r="K138">
        <v>1</v>
      </c>
      <c r="L138" t="s">
        <v>20</v>
      </c>
      <c r="M138" t="s">
        <v>14</v>
      </c>
      <c r="N138" s="2">
        <v>35</v>
      </c>
      <c r="O138" t="str" cm="1">
        <f t="array" ref="O138">_xlfn.IFS(
  AND(BikePurchase[[#This Row],[Age]]&gt;=18, BikePurchase[[#This Row],[Age]]&lt;=30), "Adolescent",
  AND(BikePurchase[[#This Row],[Age]]&gt;30, BikePurchase[[#This Row],[Age]]&lt;55), "Middle Aged",
  AND(BikePurchase[[#This Row],[Age]]&gt;=55, BikePurchase[[#This Row],[Age]]&lt;90), "Old",
  TRUE, "Invalid"
)</f>
        <v>Middle Aged</v>
      </c>
      <c r="P138" t="s">
        <v>13</v>
      </c>
      <c r="Q138" t="str">
        <f>IF(BikePurchase[[#This Row],[Purchased BikeX]]="No","Not Purchased","Purchased")</f>
        <v>Purchased</v>
      </c>
    </row>
    <row r="139" spans="1:17" x14ac:dyDescent="0.3">
      <c r="A139">
        <v>17994</v>
      </c>
      <c r="B139" t="s">
        <v>31</v>
      </c>
      <c r="C139" t="str">
        <f t="shared" si="4"/>
        <v>Single</v>
      </c>
      <c r="D139" t="s">
        <v>30</v>
      </c>
      <c r="E139" t="str">
        <f t="shared" si="5"/>
        <v>Male</v>
      </c>
      <c r="F139" s="2">
        <v>20000</v>
      </c>
      <c r="G139">
        <v>2</v>
      </c>
      <c r="H139" t="s">
        <v>24</v>
      </c>
      <c r="I139" t="s">
        <v>22</v>
      </c>
      <c r="J139" t="s">
        <v>13</v>
      </c>
      <c r="K139">
        <v>2</v>
      </c>
      <c r="L139" t="s">
        <v>35</v>
      </c>
      <c r="M139" t="s">
        <v>14</v>
      </c>
      <c r="N139" s="2">
        <v>42</v>
      </c>
      <c r="O139" t="str" cm="1">
        <f t="array" ref="O139">_xlfn.IFS(
  AND(BikePurchase[[#This Row],[Age]]&gt;=18, BikePurchase[[#This Row],[Age]]&lt;=30), "Adolescent",
  AND(BikePurchase[[#This Row],[Age]]&gt;30, BikePurchase[[#This Row],[Age]]&lt;55), "Middle Aged",
  AND(BikePurchase[[#This Row],[Age]]&gt;=55, BikePurchase[[#This Row],[Age]]&lt;90), "Old",
  TRUE, "Invalid"
)</f>
        <v>Middle Aged</v>
      </c>
      <c r="P139" t="s">
        <v>15</v>
      </c>
      <c r="Q139" t="str">
        <f>IF(BikePurchase[[#This Row],[Purchased BikeX]]="No","Not Purchased","Purchased")</f>
        <v>Not Purchased</v>
      </c>
    </row>
    <row r="140" spans="1:17" x14ac:dyDescent="0.3">
      <c r="A140">
        <v>24273</v>
      </c>
      <c r="B140" t="s">
        <v>30</v>
      </c>
      <c r="C140" t="str">
        <f t="shared" si="4"/>
        <v>Married</v>
      </c>
      <c r="D140" t="s">
        <v>29</v>
      </c>
      <c r="E140" t="str">
        <f t="shared" si="5"/>
        <v>Female</v>
      </c>
      <c r="F140" s="2">
        <v>20000</v>
      </c>
      <c r="G140">
        <v>2</v>
      </c>
      <c r="H140" t="s">
        <v>26</v>
      </c>
      <c r="I140" t="s">
        <v>17</v>
      </c>
      <c r="J140" t="s">
        <v>13</v>
      </c>
      <c r="K140">
        <v>2</v>
      </c>
      <c r="L140" t="s">
        <v>20</v>
      </c>
      <c r="M140" t="s">
        <v>21</v>
      </c>
      <c r="N140" s="2">
        <v>55</v>
      </c>
      <c r="O140" t="str" cm="1">
        <f t="array" ref="O140">_xlfn.IFS(
  AND(BikePurchase[[#This Row],[Age]]&gt;=18, BikePurchase[[#This Row],[Age]]&lt;=30), "Adolescent",
  AND(BikePurchase[[#This Row],[Age]]&gt;30, BikePurchase[[#This Row],[Age]]&lt;55), "Middle Aged",
  AND(BikePurchase[[#This Row],[Age]]&gt;=55, BikePurchase[[#This Row],[Age]]&lt;90), "Old",
  TRUE, "Invalid"
)</f>
        <v>Old</v>
      </c>
      <c r="P140" t="s">
        <v>13</v>
      </c>
      <c r="Q140" t="str">
        <f>IF(BikePurchase[[#This Row],[Purchased BikeX]]="No","Not Purchased","Purchased")</f>
        <v>Purchased</v>
      </c>
    </row>
    <row r="141" spans="1:17" x14ac:dyDescent="0.3">
      <c r="A141">
        <v>26547</v>
      </c>
      <c r="B141" t="s">
        <v>31</v>
      </c>
      <c r="C141" t="str">
        <f t="shared" si="4"/>
        <v>Single</v>
      </c>
      <c r="D141" t="s">
        <v>29</v>
      </c>
      <c r="E141" t="str">
        <f t="shared" si="5"/>
        <v>Female</v>
      </c>
      <c r="F141" s="2">
        <v>30000</v>
      </c>
      <c r="G141">
        <v>2</v>
      </c>
      <c r="H141" t="s">
        <v>16</v>
      </c>
      <c r="I141" t="s">
        <v>17</v>
      </c>
      <c r="J141" t="s">
        <v>15</v>
      </c>
      <c r="K141">
        <v>2</v>
      </c>
      <c r="L141" t="s">
        <v>20</v>
      </c>
      <c r="M141" t="s">
        <v>21</v>
      </c>
      <c r="N141" s="2">
        <v>60</v>
      </c>
      <c r="O141" t="str" cm="1">
        <f t="array" ref="O141">_xlfn.IFS(
  AND(BikePurchase[[#This Row],[Age]]&gt;=18, BikePurchase[[#This Row],[Age]]&lt;=30), "Adolescent",
  AND(BikePurchase[[#This Row],[Age]]&gt;30, BikePurchase[[#This Row],[Age]]&lt;55), "Middle Aged",
  AND(BikePurchase[[#This Row],[Age]]&gt;=55, BikePurchase[[#This Row],[Age]]&lt;90), "Old",
  TRUE, "Invalid"
)</f>
        <v>Old</v>
      </c>
      <c r="P141" t="s">
        <v>13</v>
      </c>
      <c r="Q141" t="str">
        <f>IF(BikePurchase[[#This Row],[Purchased BikeX]]="No","Not Purchased","Purchased")</f>
        <v>Purchased</v>
      </c>
    </row>
    <row r="142" spans="1:17" x14ac:dyDescent="0.3">
      <c r="A142">
        <v>22500</v>
      </c>
      <c r="B142" t="s">
        <v>31</v>
      </c>
      <c r="C142" t="str">
        <f t="shared" si="4"/>
        <v>Single</v>
      </c>
      <c r="D142" t="s">
        <v>30</v>
      </c>
      <c r="E142" t="str">
        <f t="shared" si="5"/>
        <v>Male</v>
      </c>
      <c r="F142" s="2">
        <v>40000</v>
      </c>
      <c r="G142">
        <v>0</v>
      </c>
      <c r="H142" t="s">
        <v>11</v>
      </c>
      <c r="I142" t="s">
        <v>18</v>
      </c>
      <c r="J142" t="s">
        <v>15</v>
      </c>
      <c r="K142">
        <v>0</v>
      </c>
      <c r="L142" t="s">
        <v>35</v>
      </c>
      <c r="M142" t="s">
        <v>14</v>
      </c>
      <c r="N142" s="2">
        <v>40</v>
      </c>
      <c r="O142" t="str" cm="1">
        <f t="array" ref="O142">_xlfn.IFS(
  AND(BikePurchase[[#This Row],[Age]]&gt;=18, BikePurchase[[#This Row],[Age]]&lt;=30), "Adolescent",
  AND(BikePurchase[[#This Row],[Age]]&gt;30, BikePurchase[[#This Row],[Age]]&lt;55), "Middle Aged",
  AND(BikePurchase[[#This Row],[Age]]&gt;=55, BikePurchase[[#This Row],[Age]]&lt;90), "Old",
  TRUE, "Invalid"
)</f>
        <v>Middle Aged</v>
      </c>
      <c r="P142" t="s">
        <v>13</v>
      </c>
      <c r="Q142" t="str">
        <f>IF(BikePurchase[[#This Row],[Purchased BikeX]]="No","Not Purchased","Purchased")</f>
        <v>Purchased</v>
      </c>
    </row>
    <row r="143" spans="1:17" x14ac:dyDescent="0.3">
      <c r="A143">
        <v>23993</v>
      </c>
      <c r="B143" t="s">
        <v>31</v>
      </c>
      <c r="C143" t="str">
        <f t="shared" si="4"/>
        <v>Single</v>
      </c>
      <c r="D143" t="s">
        <v>29</v>
      </c>
      <c r="E143" t="str">
        <f t="shared" si="5"/>
        <v>Female</v>
      </c>
      <c r="F143" s="2">
        <v>10000</v>
      </c>
      <c r="G143">
        <v>0</v>
      </c>
      <c r="H143" t="s">
        <v>16</v>
      </c>
      <c r="I143" t="s">
        <v>22</v>
      </c>
      <c r="J143" t="s">
        <v>15</v>
      </c>
      <c r="K143">
        <v>1</v>
      </c>
      <c r="L143" t="s">
        <v>35</v>
      </c>
      <c r="M143" t="s">
        <v>21</v>
      </c>
      <c r="N143" s="2">
        <v>26</v>
      </c>
      <c r="O143" t="str" cm="1">
        <f t="array" ref="O143">_xlfn.IFS(
  AND(BikePurchase[[#This Row],[Age]]&gt;=18, BikePurchase[[#This Row],[Age]]&lt;=30), "Adolescent",
  AND(BikePurchase[[#This Row],[Age]]&gt;30, BikePurchase[[#This Row],[Age]]&lt;55), "Middle Aged",
  AND(BikePurchase[[#This Row],[Age]]&gt;=55, BikePurchase[[#This Row],[Age]]&lt;90), "Old",
  TRUE, "Invalid"
)</f>
        <v>Adolescent</v>
      </c>
      <c r="P143" t="s">
        <v>13</v>
      </c>
      <c r="Q143" t="str">
        <f>IF(BikePurchase[[#This Row],[Purchased BikeX]]="No","Not Purchased","Purchased")</f>
        <v>Purchased</v>
      </c>
    </row>
    <row r="144" spans="1:17" x14ac:dyDescent="0.3">
      <c r="A144">
        <v>14832</v>
      </c>
      <c r="B144" t="s">
        <v>30</v>
      </c>
      <c r="C144" t="str">
        <f t="shared" si="4"/>
        <v>Married</v>
      </c>
      <c r="D144" t="s">
        <v>30</v>
      </c>
      <c r="E144" t="str">
        <f t="shared" si="5"/>
        <v>Male</v>
      </c>
      <c r="F144" s="2">
        <v>40000</v>
      </c>
      <c r="G144">
        <v>1</v>
      </c>
      <c r="H144" t="s">
        <v>11</v>
      </c>
      <c r="I144" t="s">
        <v>12</v>
      </c>
      <c r="J144" t="s">
        <v>13</v>
      </c>
      <c r="K144">
        <v>0</v>
      </c>
      <c r="L144" t="s">
        <v>35</v>
      </c>
      <c r="M144" t="s">
        <v>14</v>
      </c>
      <c r="N144" s="2">
        <v>42</v>
      </c>
      <c r="O144" t="str" cm="1">
        <f t="array" ref="O144">_xlfn.IFS(
  AND(BikePurchase[[#This Row],[Age]]&gt;=18, BikePurchase[[#This Row],[Age]]&lt;=30), "Adolescent",
  AND(BikePurchase[[#This Row],[Age]]&gt;30, BikePurchase[[#This Row],[Age]]&lt;55), "Middle Aged",
  AND(BikePurchase[[#This Row],[Age]]&gt;=55, BikePurchase[[#This Row],[Age]]&lt;90), "Old",
  TRUE, "Invalid"
)</f>
        <v>Middle Aged</v>
      </c>
      <c r="P144" t="s">
        <v>13</v>
      </c>
      <c r="Q144" t="str">
        <f>IF(BikePurchase[[#This Row],[Purchased BikeX]]="No","Not Purchased","Purchased")</f>
        <v>Purchased</v>
      </c>
    </row>
    <row r="145" spans="1:17" x14ac:dyDescent="0.3">
      <c r="A145">
        <v>16614</v>
      </c>
      <c r="B145" t="s">
        <v>30</v>
      </c>
      <c r="C145" t="str">
        <f t="shared" si="4"/>
        <v>Married</v>
      </c>
      <c r="D145" t="s">
        <v>29</v>
      </c>
      <c r="E145" t="str">
        <f t="shared" si="5"/>
        <v>Female</v>
      </c>
      <c r="F145" s="2">
        <v>80000</v>
      </c>
      <c r="G145">
        <v>0</v>
      </c>
      <c r="H145" t="s">
        <v>11</v>
      </c>
      <c r="I145" t="s">
        <v>18</v>
      </c>
      <c r="J145" t="s">
        <v>13</v>
      </c>
      <c r="K145">
        <v>3</v>
      </c>
      <c r="L145" t="s">
        <v>48</v>
      </c>
      <c r="M145" t="s">
        <v>21</v>
      </c>
      <c r="N145" s="2">
        <v>32</v>
      </c>
      <c r="O145" t="str" cm="1">
        <f t="array" ref="O145">_xlfn.IFS(
  AND(BikePurchase[[#This Row],[Age]]&gt;=18, BikePurchase[[#This Row],[Age]]&lt;=30), "Adolescent",
  AND(BikePurchase[[#This Row],[Age]]&gt;30, BikePurchase[[#This Row],[Age]]&lt;55), "Middle Aged",
  AND(BikePurchase[[#This Row],[Age]]&gt;=55, BikePurchase[[#This Row],[Age]]&lt;90), "Old",
  TRUE, "Invalid"
)</f>
        <v>Middle Aged</v>
      </c>
      <c r="P145" t="s">
        <v>15</v>
      </c>
      <c r="Q145" t="str">
        <f>IF(BikePurchase[[#This Row],[Purchased BikeX]]="No","Not Purchased","Purchased")</f>
        <v>Not Purchased</v>
      </c>
    </row>
    <row r="146" spans="1:17" x14ac:dyDescent="0.3">
      <c r="A146">
        <v>20877</v>
      </c>
      <c r="B146" t="s">
        <v>31</v>
      </c>
      <c r="C146" t="str">
        <f t="shared" si="4"/>
        <v>Single</v>
      </c>
      <c r="D146" t="s">
        <v>30</v>
      </c>
      <c r="E146" t="str">
        <f t="shared" si="5"/>
        <v>Male</v>
      </c>
      <c r="F146" s="2">
        <v>30000</v>
      </c>
      <c r="G146">
        <v>1</v>
      </c>
      <c r="H146" t="s">
        <v>11</v>
      </c>
      <c r="I146" t="s">
        <v>17</v>
      </c>
      <c r="J146" t="s">
        <v>13</v>
      </c>
      <c r="K146">
        <v>0</v>
      </c>
      <c r="L146" t="s">
        <v>23</v>
      </c>
      <c r="M146" t="s">
        <v>14</v>
      </c>
      <c r="N146" s="2">
        <v>37</v>
      </c>
      <c r="O146" t="str" cm="1">
        <f t="array" ref="O146">_xlfn.IFS(
  AND(BikePurchase[[#This Row],[Age]]&gt;=18, BikePurchase[[#This Row],[Age]]&lt;=30), "Adolescent",
  AND(BikePurchase[[#This Row],[Age]]&gt;30, BikePurchase[[#This Row],[Age]]&lt;55), "Middle Aged",
  AND(BikePurchase[[#This Row],[Age]]&gt;=55, BikePurchase[[#This Row],[Age]]&lt;90), "Old",
  TRUE, "Invalid"
)</f>
        <v>Middle Aged</v>
      </c>
      <c r="P146" t="s">
        <v>13</v>
      </c>
      <c r="Q146" t="str">
        <f>IF(BikePurchase[[#This Row],[Purchased BikeX]]="No","Not Purchased","Purchased")</f>
        <v>Purchased</v>
      </c>
    </row>
    <row r="147" spans="1:17" x14ac:dyDescent="0.3">
      <c r="A147">
        <v>20729</v>
      </c>
      <c r="B147" t="s">
        <v>30</v>
      </c>
      <c r="C147" t="str">
        <f t="shared" si="4"/>
        <v>Married</v>
      </c>
      <c r="D147" t="s">
        <v>29</v>
      </c>
      <c r="E147" t="str">
        <f t="shared" si="5"/>
        <v>Female</v>
      </c>
      <c r="F147" s="2">
        <v>40000</v>
      </c>
      <c r="G147">
        <v>2</v>
      </c>
      <c r="H147" t="s">
        <v>16</v>
      </c>
      <c r="I147" t="s">
        <v>17</v>
      </c>
      <c r="J147" t="s">
        <v>15</v>
      </c>
      <c r="K147">
        <v>1</v>
      </c>
      <c r="L147" t="s">
        <v>35</v>
      </c>
      <c r="M147" t="s">
        <v>14</v>
      </c>
      <c r="N147" s="2">
        <v>34</v>
      </c>
      <c r="O147" t="str" cm="1">
        <f t="array" ref="O147">_xlfn.IFS(
  AND(BikePurchase[[#This Row],[Age]]&gt;=18, BikePurchase[[#This Row],[Age]]&lt;=30), "Adolescent",
  AND(BikePurchase[[#This Row],[Age]]&gt;30, BikePurchase[[#This Row],[Age]]&lt;55), "Middle Aged",
  AND(BikePurchase[[#This Row],[Age]]&gt;=55, BikePurchase[[#This Row],[Age]]&lt;90), "Old",
  TRUE, "Invalid"
)</f>
        <v>Middle Aged</v>
      </c>
      <c r="P147" t="s">
        <v>15</v>
      </c>
      <c r="Q147" t="str">
        <f>IF(BikePurchase[[#This Row],[Purchased BikeX]]="No","Not Purchased","Purchased")</f>
        <v>Not Purchased</v>
      </c>
    </row>
    <row r="148" spans="1:17" x14ac:dyDescent="0.3">
      <c r="A148">
        <v>22464</v>
      </c>
      <c r="B148" t="s">
        <v>30</v>
      </c>
      <c r="C148" t="str">
        <f t="shared" si="4"/>
        <v>Married</v>
      </c>
      <c r="D148" t="s">
        <v>30</v>
      </c>
      <c r="E148" t="str">
        <f t="shared" si="5"/>
        <v>Male</v>
      </c>
      <c r="F148" s="2">
        <v>40000</v>
      </c>
      <c r="G148">
        <v>0</v>
      </c>
      <c r="H148" t="s">
        <v>27</v>
      </c>
      <c r="I148" t="s">
        <v>17</v>
      </c>
      <c r="J148" t="s">
        <v>13</v>
      </c>
      <c r="K148">
        <v>0</v>
      </c>
      <c r="L148" t="s">
        <v>35</v>
      </c>
      <c r="M148" t="s">
        <v>14</v>
      </c>
      <c r="N148" s="2">
        <v>37</v>
      </c>
      <c r="O148" t="str" cm="1">
        <f t="array" ref="O148">_xlfn.IFS(
  AND(BikePurchase[[#This Row],[Age]]&gt;=18, BikePurchase[[#This Row],[Age]]&lt;=30), "Adolescent",
  AND(BikePurchase[[#This Row],[Age]]&gt;30, BikePurchase[[#This Row],[Age]]&lt;55), "Middle Aged",
  AND(BikePurchase[[#This Row],[Age]]&gt;=55, BikePurchase[[#This Row],[Age]]&lt;90), "Old",
  TRUE, "Invalid"
)</f>
        <v>Middle Aged</v>
      </c>
      <c r="P148" t="s">
        <v>13</v>
      </c>
      <c r="Q148" t="str">
        <f>IF(BikePurchase[[#This Row],[Purchased BikeX]]="No","Not Purchased","Purchased")</f>
        <v>Purchased</v>
      </c>
    </row>
    <row r="149" spans="1:17" x14ac:dyDescent="0.3">
      <c r="A149">
        <v>19475</v>
      </c>
      <c r="B149" t="s">
        <v>30</v>
      </c>
      <c r="C149" t="str">
        <f t="shared" si="4"/>
        <v>Married</v>
      </c>
      <c r="D149" t="s">
        <v>29</v>
      </c>
      <c r="E149" t="str">
        <f t="shared" si="5"/>
        <v>Female</v>
      </c>
      <c r="F149" s="2">
        <v>40000</v>
      </c>
      <c r="G149">
        <v>0</v>
      </c>
      <c r="H149" t="s">
        <v>11</v>
      </c>
      <c r="I149" t="s">
        <v>18</v>
      </c>
      <c r="J149" t="s">
        <v>15</v>
      </c>
      <c r="K149">
        <v>0</v>
      </c>
      <c r="L149" t="s">
        <v>35</v>
      </c>
      <c r="M149" t="s">
        <v>14</v>
      </c>
      <c r="N149" s="2">
        <v>40</v>
      </c>
      <c r="O149" t="str" cm="1">
        <f t="array" ref="O149">_xlfn.IFS(
  AND(BikePurchase[[#This Row],[Age]]&gt;=18, BikePurchase[[#This Row],[Age]]&lt;=30), "Adolescent",
  AND(BikePurchase[[#This Row],[Age]]&gt;30, BikePurchase[[#This Row],[Age]]&lt;55), "Middle Aged",
  AND(BikePurchase[[#This Row],[Age]]&gt;=55, BikePurchase[[#This Row],[Age]]&lt;90), "Old",
  TRUE, "Invalid"
)</f>
        <v>Middle Aged</v>
      </c>
      <c r="P149" t="s">
        <v>13</v>
      </c>
      <c r="Q149" t="str">
        <f>IF(BikePurchase[[#This Row],[Purchased BikeX]]="No","Not Purchased","Purchased")</f>
        <v>Purchased</v>
      </c>
    </row>
    <row r="150" spans="1:17" x14ac:dyDescent="0.3">
      <c r="A150">
        <v>19675</v>
      </c>
      <c r="B150" t="s">
        <v>30</v>
      </c>
      <c r="C150" t="str">
        <f t="shared" si="4"/>
        <v>Married</v>
      </c>
      <c r="D150" t="s">
        <v>30</v>
      </c>
      <c r="E150" t="str">
        <f t="shared" si="5"/>
        <v>Male</v>
      </c>
      <c r="F150" s="2">
        <v>20000</v>
      </c>
      <c r="G150">
        <v>4</v>
      </c>
      <c r="H150" t="s">
        <v>24</v>
      </c>
      <c r="I150" t="s">
        <v>12</v>
      </c>
      <c r="J150" t="s">
        <v>13</v>
      </c>
      <c r="K150">
        <v>2</v>
      </c>
      <c r="L150" t="s">
        <v>20</v>
      </c>
      <c r="M150" t="s">
        <v>21</v>
      </c>
      <c r="N150" s="2">
        <v>60</v>
      </c>
      <c r="O150" t="str" cm="1">
        <f t="array" ref="O150">_xlfn.IFS(
  AND(BikePurchase[[#This Row],[Age]]&gt;=18, BikePurchase[[#This Row],[Age]]&lt;=30), "Adolescent",
  AND(BikePurchase[[#This Row],[Age]]&gt;30, BikePurchase[[#This Row],[Age]]&lt;55), "Middle Aged",
  AND(BikePurchase[[#This Row],[Age]]&gt;=55, BikePurchase[[#This Row],[Age]]&lt;90), "Old",
  TRUE, "Invalid"
)</f>
        <v>Old</v>
      </c>
      <c r="P150" t="s">
        <v>15</v>
      </c>
      <c r="Q150" t="str">
        <f>IF(BikePurchase[[#This Row],[Purchased BikeX]]="No","Not Purchased","Purchased")</f>
        <v>Not Purchased</v>
      </c>
    </row>
    <row r="151" spans="1:17" x14ac:dyDescent="0.3">
      <c r="A151">
        <v>12728</v>
      </c>
      <c r="B151" t="s">
        <v>31</v>
      </c>
      <c r="C151" t="str">
        <f t="shared" si="4"/>
        <v>Single</v>
      </c>
      <c r="D151" t="s">
        <v>30</v>
      </c>
      <c r="E151" t="str">
        <f t="shared" si="5"/>
        <v>Male</v>
      </c>
      <c r="F151" s="2">
        <v>30000</v>
      </c>
      <c r="G151">
        <v>0</v>
      </c>
      <c r="H151" t="s">
        <v>16</v>
      </c>
      <c r="I151" t="s">
        <v>17</v>
      </c>
      <c r="J151" t="s">
        <v>15</v>
      </c>
      <c r="K151">
        <v>1</v>
      </c>
      <c r="L151" t="s">
        <v>23</v>
      </c>
      <c r="M151" t="s">
        <v>14</v>
      </c>
      <c r="N151" s="2">
        <v>27</v>
      </c>
      <c r="O151" t="str" cm="1">
        <f t="array" ref="O151">_xlfn.IFS(
  AND(BikePurchase[[#This Row],[Age]]&gt;=18, BikePurchase[[#This Row],[Age]]&lt;=30), "Adolescent",
  AND(BikePurchase[[#This Row],[Age]]&gt;30, BikePurchase[[#This Row],[Age]]&lt;55), "Middle Aged",
  AND(BikePurchase[[#This Row],[Age]]&gt;=55, BikePurchase[[#This Row],[Age]]&lt;90), "Old",
  TRUE, "Invalid"
)</f>
        <v>Adolescent</v>
      </c>
      <c r="P151" t="s">
        <v>15</v>
      </c>
      <c r="Q151" t="str">
        <f>IF(BikePurchase[[#This Row],[Purchased BikeX]]="No","Not Purchased","Purchased")</f>
        <v>Not Purchased</v>
      </c>
    </row>
    <row r="152" spans="1:17" x14ac:dyDescent="0.3">
      <c r="A152">
        <v>26154</v>
      </c>
      <c r="B152" t="s">
        <v>30</v>
      </c>
      <c r="C152" t="str">
        <f t="shared" si="4"/>
        <v>Married</v>
      </c>
      <c r="D152" t="s">
        <v>30</v>
      </c>
      <c r="E152" t="str">
        <f t="shared" si="5"/>
        <v>Male</v>
      </c>
      <c r="F152" s="2">
        <v>60000</v>
      </c>
      <c r="G152">
        <v>1</v>
      </c>
      <c r="H152" t="s">
        <v>16</v>
      </c>
      <c r="I152" t="s">
        <v>12</v>
      </c>
      <c r="J152" t="s">
        <v>13</v>
      </c>
      <c r="K152">
        <v>1</v>
      </c>
      <c r="L152" t="s">
        <v>20</v>
      </c>
      <c r="M152" t="s">
        <v>21</v>
      </c>
      <c r="N152" s="2">
        <v>43</v>
      </c>
      <c r="O152" t="str" cm="1">
        <f t="array" ref="O152">_xlfn.IFS(
  AND(BikePurchase[[#This Row],[Age]]&gt;=18, BikePurchase[[#This Row],[Age]]&lt;=30), "Adolescent",
  AND(BikePurchase[[#This Row],[Age]]&gt;30, BikePurchase[[#This Row],[Age]]&lt;55), "Middle Aged",
  AND(BikePurchase[[#This Row],[Age]]&gt;=55, BikePurchase[[#This Row],[Age]]&lt;90), "Old",
  TRUE, "Invalid"
)</f>
        <v>Middle Aged</v>
      </c>
      <c r="P152" t="s">
        <v>13</v>
      </c>
      <c r="Q152" t="str">
        <f>IF(BikePurchase[[#This Row],[Purchased BikeX]]="No","Not Purchased","Purchased")</f>
        <v>Purchased</v>
      </c>
    </row>
    <row r="153" spans="1:17" x14ac:dyDescent="0.3">
      <c r="A153">
        <v>29117</v>
      </c>
      <c r="B153" t="s">
        <v>31</v>
      </c>
      <c r="C153" t="str">
        <f t="shared" si="4"/>
        <v>Single</v>
      </c>
      <c r="D153" t="s">
        <v>30</v>
      </c>
      <c r="E153" t="str">
        <f t="shared" si="5"/>
        <v>Male</v>
      </c>
      <c r="F153" s="2">
        <v>100000</v>
      </c>
      <c r="G153">
        <v>1</v>
      </c>
      <c r="H153" t="s">
        <v>11</v>
      </c>
      <c r="I153" t="s">
        <v>25</v>
      </c>
      <c r="J153" t="s">
        <v>15</v>
      </c>
      <c r="K153">
        <v>3</v>
      </c>
      <c r="L153" t="s">
        <v>35</v>
      </c>
      <c r="M153" t="s">
        <v>21</v>
      </c>
      <c r="N153" s="2">
        <v>48</v>
      </c>
      <c r="O153" t="str" cm="1">
        <f t="array" ref="O153">_xlfn.IFS(
  AND(BikePurchase[[#This Row],[Age]]&gt;=18, BikePurchase[[#This Row],[Age]]&lt;=30), "Adolescent",
  AND(BikePurchase[[#This Row],[Age]]&gt;30, BikePurchase[[#This Row],[Age]]&lt;55), "Middle Aged",
  AND(BikePurchase[[#This Row],[Age]]&gt;=55, BikePurchase[[#This Row],[Age]]&lt;90), "Old",
  TRUE, "Invalid"
)</f>
        <v>Middle Aged</v>
      </c>
      <c r="P153" t="s">
        <v>15</v>
      </c>
      <c r="Q153" t="str">
        <f>IF(BikePurchase[[#This Row],[Purchased BikeX]]="No","Not Purchased","Purchased")</f>
        <v>Not Purchased</v>
      </c>
    </row>
    <row r="154" spans="1:17" x14ac:dyDescent="0.3">
      <c r="A154">
        <v>17845</v>
      </c>
      <c r="B154" t="s">
        <v>31</v>
      </c>
      <c r="C154" t="str">
        <f t="shared" si="4"/>
        <v>Single</v>
      </c>
      <c r="D154" t="s">
        <v>29</v>
      </c>
      <c r="E154" t="str">
        <f t="shared" si="5"/>
        <v>Female</v>
      </c>
      <c r="F154" s="2">
        <v>20000</v>
      </c>
      <c r="G154">
        <v>0</v>
      </c>
      <c r="H154" t="s">
        <v>26</v>
      </c>
      <c r="I154" t="s">
        <v>22</v>
      </c>
      <c r="J154" t="s">
        <v>15</v>
      </c>
      <c r="K154">
        <v>2</v>
      </c>
      <c r="L154" t="s">
        <v>23</v>
      </c>
      <c r="M154" t="s">
        <v>14</v>
      </c>
      <c r="N154" s="2">
        <v>32</v>
      </c>
      <c r="O154" t="str" cm="1">
        <f t="array" ref="O154">_xlfn.IFS(
  AND(BikePurchase[[#This Row],[Age]]&gt;=18, BikePurchase[[#This Row],[Age]]&lt;=30), "Adolescent",
  AND(BikePurchase[[#This Row],[Age]]&gt;30, BikePurchase[[#This Row],[Age]]&lt;55), "Middle Aged",
  AND(BikePurchase[[#This Row],[Age]]&gt;=55, BikePurchase[[#This Row],[Age]]&lt;90), "Old",
  TRUE, "Invalid"
)</f>
        <v>Middle Aged</v>
      </c>
      <c r="P154" t="s">
        <v>15</v>
      </c>
      <c r="Q154" t="str">
        <f>IF(BikePurchase[[#This Row],[Purchased BikeX]]="No","Not Purchased","Purchased")</f>
        <v>Not Purchased</v>
      </c>
    </row>
    <row r="155" spans="1:17" x14ac:dyDescent="0.3">
      <c r="A155">
        <v>25058</v>
      </c>
      <c r="B155" t="s">
        <v>30</v>
      </c>
      <c r="C155" t="str">
        <f t="shared" si="4"/>
        <v>Married</v>
      </c>
      <c r="D155" t="s">
        <v>30</v>
      </c>
      <c r="E155" t="str">
        <f t="shared" si="5"/>
        <v>Male</v>
      </c>
      <c r="F155" s="2">
        <v>100000</v>
      </c>
      <c r="G155">
        <v>1</v>
      </c>
      <c r="H155" t="s">
        <v>11</v>
      </c>
      <c r="I155" t="s">
        <v>25</v>
      </c>
      <c r="J155" t="s">
        <v>13</v>
      </c>
      <c r="K155">
        <v>3</v>
      </c>
      <c r="L155" t="s">
        <v>19</v>
      </c>
      <c r="M155" t="s">
        <v>21</v>
      </c>
      <c r="N155" s="2">
        <v>47</v>
      </c>
      <c r="O155" t="str" cm="1">
        <f t="array" ref="O155">_xlfn.IFS(
  AND(BikePurchase[[#This Row],[Age]]&gt;=18, BikePurchase[[#This Row],[Age]]&lt;=30), "Adolescent",
  AND(BikePurchase[[#This Row],[Age]]&gt;30, BikePurchase[[#This Row],[Age]]&lt;55), "Middle Aged",
  AND(BikePurchase[[#This Row],[Age]]&gt;=55, BikePurchase[[#This Row],[Age]]&lt;90), "Old",
  TRUE, "Invalid"
)</f>
        <v>Middle Aged</v>
      </c>
      <c r="P155" t="s">
        <v>15</v>
      </c>
      <c r="Q155" t="str">
        <f>IF(BikePurchase[[#This Row],[Purchased BikeX]]="No","Not Purchased","Purchased")</f>
        <v>Not Purchased</v>
      </c>
    </row>
    <row r="156" spans="1:17" x14ac:dyDescent="0.3">
      <c r="A156">
        <v>23426</v>
      </c>
      <c r="B156" t="s">
        <v>31</v>
      </c>
      <c r="C156" t="str">
        <f t="shared" si="4"/>
        <v>Single</v>
      </c>
      <c r="D156" t="s">
        <v>30</v>
      </c>
      <c r="E156" t="str">
        <f t="shared" si="5"/>
        <v>Male</v>
      </c>
      <c r="F156" s="2">
        <v>80000</v>
      </c>
      <c r="G156">
        <v>5</v>
      </c>
      <c r="H156" t="s">
        <v>27</v>
      </c>
      <c r="I156" t="s">
        <v>25</v>
      </c>
      <c r="J156" t="s">
        <v>13</v>
      </c>
      <c r="K156">
        <v>3</v>
      </c>
      <c r="L156" t="s">
        <v>35</v>
      </c>
      <c r="M156" t="s">
        <v>21</v>
      </c>
      <c r="N156" s="2">
        <v>40</v>
      </c>
      <c r="O156" t="str" cm="1">
        <f t="array" ref="O156">_xlfn.IFS(
  AND(BikePurchase[[#This Row],[Age]]&gt;=18, BikePurchase[[#This Row],[Age]]&lt;=30), "Adolescent",
  AND(BikePurchase[[#This Row],[Age]]&gt;30, BikePurchase[[#This Row],[Age]]&lt;55), "Middle Aged",
  AND(BikePurchase[[#This Row],[Age]]&gt;=55, BikePurchase[[#This Row],[Age]]&lt;90), "Old",
  TRUE, "Invalid"
)</f>
        <v>Middle Aged</v>
      </c>
      <c r="P156" t="s">
        <v>15</v>
      </c>
      <c r="Q156" t="str">
        <f>IF(BikePurchase[[#This Row],[Purchased BikeX]]="No","Not Purchased","Purchased")</f>
        <v>Not Purchased</v>
      </c>
    </row>
    <row r="157" spans="1:17" x14ac:dyDescent="0.3">
      <c r="A157">
        <v>14798</v>
      </c>
      <c r="B157" t="s">
        <v>31</v>
      </c>
      <c r="C157" t="str">
        <f t="shared" si="4"/>
        <v>Single</v>
      </c>
      <c r="D157" t="s">
        <v>29</v>
      </c>
      <c r="E157" t="str">
        <f t="shared" si="5"/>
        <v>Female</v>
      </c>
      <c r="F157" s="2">
        <v>10000</v>
      </c>
      <c r="G157">
        <v>4</v>
      </c>
      <c r="H157" t="s">
        <v>26</v>
      </c>
      <c r="I157" t="s">
        <v>22</v>
      </c>
      <c r="J157" t="s">
        <v>13</v>
      </c>
      <c r="K157">
        <v>2</v>
      </c>
      <c r="L157" t="s">
        <v>35</v>
      </c>
      <c r="M157" t="s">
        <v>14</v>
      </c>
      <c r="N157" s="2">
        <v>41</v>
      </c>
      <c r="O157" t="str" cm="1">
        <f t="array" ref="O157">_xlfn.IFS(
  AND(BikePurchase[[#This Row],[Age]]&gt;=18, BikePurchase[[#This Row],[Age]]&lt;=30), "Adolescent",
  AND(BikePurchase[[#This Row],[Age]]&gt;30, BikePurchase[[#This Row],[Age]]&lt;55), "Middle Aged",
  AND(BikePurchase[[#This Row],[Age]]&gt;=55, BikePurchase[[#This Row],[Age]]&lt;90), "Old",
  TRUE, "Invalid"
)</f>
        <v>Middle Aged</v>
      </c>
      <c r="P157" t="s">
        <v>13</v>
      </c>
      <c r="Q157" t="str">
        <f>IF(BikePurchase[[#This Row],[Purchased BikeX]]="No","Not Purchased","Purchased")</f>
        <v>Purchased</v>
      </c>
    </row>
    <row r="158" spans="1:17" x14ac:dyDescent="0.3">
      <c r="A158">
        <v>12664</v>
      </c>
      <c r="B158" t="s">
        <v>30</v>
      </c>
      <c r="C158" t="str">
        <f t="shared" si="4"/>
        <v>Married</v>
      </c>
      <c r="D158" t="s">
        <v>29</v>
      </c>
      <c r="E158" t="str">
        <f t="shared" si="5"/>
        <v>Female</v>
      </c>
      <c r="F158" s="2">
        <v>130000</v>
      </c>
      <c r="G158">
        <v>5</v>
      </c>
      <c r="H158" t="s">
        <v>16</v>
      </c>
      <c r="I158" t="s">
        <v>18</v>
      </c>
      <c r="J158" t="s">
        <v>13</v>
      </c>
      <c r="K158">
        <v>4</v>
      </c>
      <c r="L158" t="s">
        <v>35</v>
      </c>
      <c r="M158" t="s">
        <v>14</v>
      </c>
      <c r="N158" s="2">
        <v>59</v>
      </c>
      <c r="O158" t="str" cm="1">
        <f t="array" ref="O158">_xlfn.IFS(
  AND(BikePurchase[[#This Row],[Age]]&gt;=18, BikePurchase[[#This Row],[Age]]&lt;=30), "Adolescent",
  AND(BikePurchase[[#This Row],[Age]]&gt;30, BikePurchase[[#This Row],[Age]]&lt;55), "Middle Aged",
  AND(BikePurchase[[#This Row],[Age]]&gt;=55, BikePurchase[[#This Row],[Age]]&lt;90), "Old",
  TRUE, "Invalid"
)</f>
        <v>Old</v>
      </c>
      <c r="P158" t="s">
        <v>15</v>
      </c>
      <c r="Q158" t="str">
        <f>IF(BikePurchase[[#This Row],[Purchased BikeX]]="No","Not Purchased","Purchased")</f>
        <v>Not Purchased</v>
      </c>
    </row>
    <row r="159" spans="1:17" x14ac:dyDescent="0.3">
      <c r="A159">
        <v>23979</v>
      </c>
      <c r="B159" t="s">
        <v>31</v>
      </c>
      <c r="C159" t="str">
        <f t="shared" si="4"/>
        <v>Single</v>
      </c>
      <c r="D159" t="s">
        <v>30</v>
      </c>
      <c r="E159" t="str">
        <f t="shared" si="5"/>
        <v>Male</v>
      </c>
      <c r="F159" s="2">
        <v>10000</v>
      </c>
      <c r="G159">
        <v>2</v>
      </c>
      <c r="H159" t="s">
        <v>16</v>
      </c>
      <c r="I159" t="s">
        <v>22</v>
      </c>
      <c r="J159" t="s">
        <v>15</v>
      </c>
      <c r="K159">
        <v>0</v>
      </c>
      <c r="L159" t="s">
        <v>35</v>
      </c>
      <c r="M159" t="s">
        <v>14</v>
      </c>
      <c r="N159" s="2">
        <v>50</v>
      </c>
      <c r="O159" t="str" cm="1">
        <f t="array" ref="O159">_xlfn.IFS(
  AND(BikePurchase[[#This Row],[Age]]&gt;=18, BikePurchase[[#This Row],[Age]]&lt;=30), "Adolescent",
  AND(BikePurchase[[#This Row],[Age]]&gt;30, BikePurchase[[#This Row],[Age]]&lt;55), "Middle Aged",
  AND(BikePurchase[[#This Row],[Age]]&gt;=55, BikePurchase[[#This Row],[Age]]&lt;90), "Old",
  TRUE, "Invalid"
)</f>
        <v>Middle Aged</v>
      </c>
      <c r="P159" t="s">
        <v>15</v>
      </c>
      <c r="Q159" t="str">
        <f>IF(BikePurchase[[#This Row],[Purchased BikeX]]="No","Not Purchased","Purchased")</f>
        <v>Not Purchased</v>
      </c>
    </row>
    <row r="160" spans="1:17" x14ac:dyDescent="0.3">
      <c r="A160">
        <v>25605</v>
      </c>
      <c r="B160" t="s">
        <v>31</v>
      </c>
      <c r="C160" t="str">
        <f t="shared" si="4"/>
        <v>Single</v>
      </c>
      <c r="D160" t="s">
        <v>29</v>
      </c>
      <c r="E160" t="str">
        <f t="shared" si="5"/>
        <v>Female</v>
      </c>
      <c r="F160" s="2">
        <v>20000</v>
      </c>
      <c r="G160">
        <v>2</v>
      </c>
      <c r="H160" t="s">
        <v>16</v>
      </c>
      <c r="I160" t="s">
        <v>22</v>
      </c>
      <c r="J160" t="s">
        <v>15</v>
      </c>
      <c r="K160">
        <v>1</v>
      </c>
      <c r="L160" t="s">
        <v>35</v>
      </c>
      <c r="M160" t="s">
        <v>14</v>
      </c>
      <c r="N160" s="2">
        <v>54</v>
      </c>
      <c r="O160" t="str" cm="1">
        <f t="array" ref="O160">_xlfn.IFS(
  AND(BikePurchase[[#This Row],[Age]]&gt;=18, BikePurchase[[#This Row],[Age]]&lt;=30), "Adolescent",
  AND(BikePurchase[[#This Row],[Age]]&gt;30, BikePurchase[[#This Row],[Age]]&lt;55), "Middle Aged",
  AND(BikePurchase[[#This Row],[Age]]&gt;=55, BikePurchase[[#This Row],[Age]]&lt;90), "Old",
  TRUE, "Invalid"
)</f>
        <v>Middle Aged</v>
      </c>
      <c r="P160" t="s">
        <v>13</v>
      </c>
      <c r="Q160" t="str">
        <f>IF(BikePurchase[[#This Row],[Purchased BikeX]]="No","Not Purchased","Purchased")</f>
        <v>Purchased</v>
      </c>
    </row>
    <row r="161" spans="1:17" x14ac:dyDescent="0.3">
      <c r="A161">
        <v>20797</v>
      </c>
      <c r="B161" t="s">
        <v>30</v>
      </c>
      <c r="C161" t="str">
        <f t="shared" si="4"/>
        <v>Married</v>
      </c>
      <c r="D161" t="s">
        <v>29</v>
      </c>
      <c r="E161" t="str">
        <f t="shared" si="5"/>
        <v>Female</v>
      </c>
      <c r="F161" s="2">
        <v>10000</v>
      </c>
      <c r="G161">
        <v>1</v>
      </c>
      <c r="H161" t="s">
        <v>11</v>
      </c>
      <c r="I161" t="s">
        <v>22</v>
      </c>
      <c r="J161" t="s">
        <v>13</v>
      </c>
      <c r="K161">
        <v>0</v>
      </c>
      <c r="L161" t="s">
        <v>35</v>
      </c>
      <c r="M161" t="s">
        <v>14</v>
      </c>
      <c r="N161" s="2">
        <v>48</v>
      </c>
      <c r="O161" t="str" cm="1">
        <f t="array" ref="O161">_xlfn.IFS(
  AND(BikePurchase[[#This Row],[Age]]&gt;=18, BikePurchase[[#This Row],[Age]]&lt;=30), "Adolescent",
  AND(BikePurchase[[#This Row],[Age]]&gt;30, BikePurchase[[#This Row],[Age]]&lt;55), "Middle Aged",
  AND(BikePurchase[[#This Row],[Age]]&gt;=55, BikePurchase[[#This Row],[Age]]&lt;90), "Old",
  TRUE, "Invalid"
)</f>
        <v>Middle Aged</v>
      </c>
      <c r="P161" t="s">
        <v>15</v>
      </c>
      <c r="Q161" t="str">
        <f>IF(BikePurchase[[#This Row],[Purchased BikeX]]="No","Not Purchased","Purchased")</f>
        <v>Not Purchased</v>
      </c>
    </row>
    <row r="162" spans="1:17" x14ac:dyDescent="0.3">
      <c r="A162">
        <v>21980</v>
      </c>
      <c r="B162" t="s">
        <v>31</v>
      </c>
      <c r="C162" t="str">
        <f t="shared" si="4"/>
        <v>Single</v>
      </c>
      <c r="D162" t="s">
        <v>29</v>
      </c>
      <c r="E162" t="str">
        <f t="shared" si="5"/>
        <v>Female</v>
      </c>
      <c r="F162" s="2">
        <v>60000</v>
      </c>
      <c r="G162">
        <v>1</v>
      </c>
      <c r="H162" t="s">
        <v>11</v>
      </c>
      <c r="I162" t="s">
        <v>18</v>
      </c>
      <c r="J162" t="s">
        <v>13</v>
      </c>
      <c r="K162">
        <v>1</v>
      </c>
      <c r="L162" t="s">
        <v>20</v>
      </c>
      <c r="M162" t="s">
        <v>21</v>
      </c>
      <c r="N162" s="2">
        <v>44</v>
      </c>
      <c r="O162" t="str" cm="1">
        <f t="array" ref="O162">_xlfn.IFS(
  AND(BikePurchase[[#This Row],[Age]]&gt;=18, BikePurchase[[#This Row],[Age]]&lt;=30), "Adolescent",
  AND(BikePurchase[[#This Row],[Age]]&gt;30, BikePurchase[[#This Row],[Age]]&lt;55), "Middle Aged",
  AND(BikePurchase[[#This Row],[Age]]&gt;=55, BikePurchase[[#This Row],[Age]]&lt;90), "Old",
  TRUE, "Invalid"
)</f>
        <v>Middle Aged</v>
      </c>
      <c r="P162" t="s">
        <v>13</v>
      </c>
      <c r="Q162" t="str">
        <f>IF(BikePurchase[[#This Row],[Purchased BikeX]]="No","Not Purchased","Purchased")</f>
        <v>Purchased</v>
      </c>
    </row>
    <row r="163" spans="1:17" x14ac:dyDescent="0.3">
      <c r="A163">
        <v>25460</v>
      </c>
      <c r="B163" t="s">
        <v>30</v>
      </c>
      <c r="C163" t="str">
        <f t="shared" si="4"/>
        <v>Married</v>
      </c>
      <c r="D163" t="s">
        <v>29</v>
      </c>
      <c r="E163" t="str">
        <f t="shared" si="5"/>
        <v>Female</v>
      </c>
      <c r="F163" s="2">
        <v>20000</v>
      </c>
      <c r="G163">
        <v>2</v>
      </c>
      <c r="H163" t="s">
        <v>24</v>
      </c>
      <c r="I163" t="s">
        <v>22</v>
      </c>
      <c r="J163" t="s">
        <v>13</v>
      </c>
      <c r="K163">
        <v>0</v>
      </c>
      <c r="L163" t="s">
        <v>35</v>
      </c>
      <c r="M163" t="s">
        <v>14</v>
      </c>
      <c r="N163" s="2">
        <v>40</v>
      </c>
      <c r="O163" t="str" cm="1">
        <f t="array" ref="O163">_xlfn.IFS(
  AND(BikePurchase[[#This Row],[Age]]&gt;=18, BikePurchase[[#This Row],[Age]]&lt;=30), "Adolescent",
  AND(BikePurchase[[#This Row],[Age]]&gt;30, BikePurchase[[#This Row],[Age]]&lt;55), "Middle Aged",
  AND(BikePurchase[[#This Row],[Age]]&gt;=55, BikePurchase[[#This Row],[Age]]&lt;90), "Old",
  TRUE, "Invalid"
)</f>
        <v>Middle Aged</v>
      </c>
      <c r="P163" t="s">
        <v>13</v>
      </c>
      <c r="Q163" t="str">
        <f>IF(BikePurchase[[#This Row],[Purchased BikeX]]="No","Not Purchased","Purchased")</f>
        <v>Purchased</v>
      </c>
    </row>
    <row r="164" spans="1:17" x14ac:dyDescent="0.3">
      <c r="A164">
        <v>29181</v>
      </c>
      <c r="B164" t="s">
        <v>31</v>
      </c>
      <c r="C164" t="str">
        <f t="shared" si="4"/>
        <v>Single</v>
      </c>
      <c r="D164" t="s">
        <v>29</v>
      </c>
      <c r="E164" t="str">
        <f t="shared" si="5"/>
        <v>Female</v>
      </c>
      <c r="F164" s="2">
        <v>60000</v>
      </c>
      <c r="G164">
        <v>2</v>
      </c>
      <c r="H164" t="s">
        <v>11</v>
      </c>
      <c r="I164" t="s">
        <v>18</v>
      </c>
      <c r="J164" t="s">
        <v>15</v>
      </c>
      <c r="K164">
        <v>1</v>
      </c>
      <c r="L164" t="s">
        <v>35</v>
      </c>
      <c r="M164" t="s">
        <v>21</v>
      </c>
      <c r="N164" s="2">
        <v>38</v>
      </c>
      <c r="O164" t="str" cm="1">
        <f t="array" ref="O164">_xlfn.IFS(
  AND(BikePurchase[[#This Row],[Age]]&gt;=18, BikePurchase[[#This Row],[Age]]&lt;=30), "Adolescent",
  AND(BikePurchase[[#This Row],[Age]]&gt;30, BikePurchase[[#This Row],[Age]]&lt;55), "Middle Aged",
  AND(BikePurchase[[#This Row],[Age]]&gt;=55, BikePurchase[[#This Row],[Age]]&lt;90), "Old",
  TRUE, "Invalid"
)</f>
        <v>Middle Aged</v>
      </c>
      <c r="P164" t="s">
        <v>13</v>
      </c>
      <c r="Q164" t="str">
        <f>IF(BikePurchase[[#This Row],[Purchased BikeX]]="No","Not Purchased","Purchased")</f>
        <v>Purchased</v>
      </c>
    </row>
    <row r="165" spans="1:17" x14ac:dyDescent="0.3">
      <c r="A165">
        <v>24279</v>
      </c>
      <c r="B165" t="s">
        <v>31</v>
      </c>
      <c r="C165" t="str">
        <f t="shared" si="4"/>
        <v>Single</v>
      </c>
      <c r="D165" t="s">
        <v>30</v>
      </c>
      <c r="E165" t="str">
        <f t="shared" si="5"/>
        <v>Male</v>
      </c>
      <c r="F165" s="2">
        <v>40000</v>
      </c>
      <c r="G165">
        <v>2</v>
      </c>
      <c r="H165" t="s">
        <v>16</v>
      </c>
      <c r="I165" t="s">
        <v>12</v>
      </c>
      <c r="J165" t="s">
        <v>15</v>
      </c>
      <c r="K165">
        <v>2</v>
      </c>
      <c r="L165" t="s">
        <v>23</v>
      </c>
      <c r="M165" t="s">
        <v>21</v>
      </c>
      <c r="N165" s="2">
        <v>52</v>
      </c>
      <c r="O165" t="str" cm="1">
        <f t="array" ref="O165">_xlfn.IFS(
  AND(BikePurchase[[#This Row],[Age]]&gt;=18, BikePurchase[[#This Row],[Age]]&lt;=30), "Adolescent",
  AND(BikePurchase[[#This Row],[Age]]&gt;30, BikePurchase[[#This Row],[Age]]&lt;55), "Middle Aged",
  AND(BikePurchase[[#This Row],[Age]]&gt;=55, BikePurchase[[#This Row],[Age]]&lt;90), "Old",
  TRUE, "Invalid"
)</f>
        <v>Middle Aged</v>
      </c>
      <c r="P165" t="s">
        <v>15</v>
      </c>
      <c r="Q165" t="str">
        <f>IF(BikePurchase[[#This Row],[Purchased BikeX]]="No","Not Purchased","Purchased")</f>
        <v>Not Purchased</v>
      </c>
    </row>
    <row r="166" spans="1:17" x14ac:dyDescent="0.3">
      <c r="A166">
        <v>22402</v>
      </c>
      <c r="B166" t="s">
        <v>30</v>
      </c>
      <c r="C166" t="str">
        <f t="shared" si="4"/>
        <v>Married</v>
      </c>
      <c r="D166" t="s">
        <v>30</v>
      </c>
      <c r="E166" t="str">
        <f t="shared" si="5"/>
        <v>Male</v>
      </c>
      <c r="F166" s="2">
        <v>10000</v>
      </c>
      <c r="G166">
        <v>0</v>
      </c>
      <c r="H166" t="s">
        <v>16</v>
      </c>
      <c r="I166" t="s">
        <v>22</v>
      </c>
      <c r="J166" t="s">
        <v>13</v>
      </c>
      <c r="K166">
        <v>1</v>
      </c>
      <c r="L166" t="s">
        <v>19</v>
      </c>
      <c r="M166" t="s">
        <v>21</v>
      </c>
      <c r="N166" s="2">
        <v>25</v>
      </c>
      <c r="O166" t="str" cm="1">
        <f t="array" ref="O166">_xlfn.IFS(
  AND(BikePurchase[[#This Row],[Age]]&gt;=18, BikePurchase[[#This Row],[Age]]&lt;=30), "Adolescent",
  AND(BikePurchase[[#This Row],[Age]]&gt;30, BikePurchase[[#This Row],[Age]]&lt;55), "Middle Aged",
  AND(BikePurchase[[#This Row],[Age]]&gt;=55, BikePurchase[[#This Row],[Age]]&lt;90), "Old",
  TRUE, "Invalid"
)</f>
        <v>Adolescent</v>
      </c>
      <c r="P166" t="s">
        <v>13</v>
      </c>
      <c r="Q166" t="str">
        <f>IF(BikePurchase[[#This Row],[Purchased BikeX]]="No","Not Purchased","Purchased")</f>
        <v>Purchased</v>
      </c>
    </row>
    <row r="167" spans="1:17" x14ac:dyDescent="0.3">
      <c r="A167">
        <v>15465</v>
      </c>
      <c r="B167" t="s">
        <v>30</v>
      </c>
      <c r="C167" t="str">
        <f t="shared" si="4"/>
        <v>Married</v>
      </c>
      <c r="D167" t="s">
        <v>29</v>
      </c>
      <c r="E167" t="str">
        <f t="shared" si="5"/>
        <v>Female</v>
      </c>
      <c r="F167" s="2">
        <v>10000</v>
      </c>
      <c r="G167">
        <v>0</v>
      </c>
      <c r="H167" t="s">
        <v>16</v>
      </c>
      <c r="I167" t="s">
        <v>22</v>
      </c>
      <c r="J167" t="s">
        <v>15</v>
      </c>
      <c r="K167">
        <v>1</v>
      </c>
      <c r="L167" t="s">
        <v>35</v>
      </c>
      <c r="M167" t="s">
        <v>21</v>
      </c>
      <c r="N167" s="2">
        <v>25</v>
      </c>
      <c r="O167" t="str" cm="1">
        <f t="array" ref="O167">_xlfn.IFS(
  AND(BikePurchase[[#This Row],[Age]]&gt;=18, BikePurchase[[#This Row],[Age]]&lt;=30), "Adolescent",
  AND(BikePurchase[[#This Row],[Age]]&gt;30, BikePurchase[[#This Row],[Age]]&lt;55), "Middle Aged",
  AND(BikePurchase[[#This Row],[Age]]&gt;=55, BikePurchase[[#This Row],[Age]]&lt;90), "Old",
  TRUE, "Invalid"
)</f>
        <v>Adolescent</v>
      </c>
      <c r="P167" t="s">
        <v>15</v>
      </c>
      <c r="Q167" t="str">
        <f>IF(BikePurchase[[#This Row],[Purchased BikeX]]="No","Not Purchased","Purchased")</f>
        <v>Not Purchased</v>
      </c>
    </row>
    <row r="168" spans="1:17" x14ac:dyDescent="0.3">
      <c r="A168">
        <v>26757</v>
      </c>
      <c r="B168" t="s">
        <v>31</v>
      </c>
      <c r="C168" t="str">
        <f t="shared" si="4"/>
        <v>Single</v>
      </c>
      <c r="D168" t="s">
        <v>30</v>
      </c>
      <c r="E168" t="str">
        <f t="shared" si="5"/>
        <v>Male</v>
      </c>
      <c r="F168" s="2">
        <v>90000</v>
      </c>
      <c r="G168">
        <v>1</v>
      </c>
      <c r="H168" t="s">
        <v>11</v>
      </c>
      <c r="I168" t="s">
        <v>18</v>
      </c>
      <c r="J168" t="s">
        <v>13</v>
      </c>
      <c r="K168">
        <v>1</v>
      </c>
      <c r="L168" t="s">
        <v>19</v>
      </c>
      <c r="M168" t="s">
        <v>21</v>
      </c>
      <c r="N168" s="2">
        <v>47</v>
      </c>
      <c r="O168" t="str" cm="1">
        <f t="array" ref="O168">_xlfn.IFS(
  AND(BikePurchase[[#This Row],[Age]]&gt;=18, BikePurchase[[#This Row],[Age]]&lt;=30), "Adolescent",
  AND(BikePurchase[[#This Row],[Age]]&gt;30, BikePurchase[[#This Row],[Age]]&lt;55), "Middle Aged",
  AND(BikePurchase[[#This Row],[Age]]&gt;=55, BikePurchase[[#This Row],[Age]]&lt;90), "Old",
  TRUE, "Invalid"
)</f>
        <v>Middle Aged</v>
      </c>
      <c r="P168" t="s">
        <v>13</v>
      </c>
      <c r="Q168" t="str">
        <f>IF(BikePurchase[[#This Row],[Purchased BikeX]]="No","Not Purchased","Purchased")</f>
        <v>Purchased</v>
      </c>
    </row>
    <row r="169" spans="1:17" x14ac:dyDescent="0.3">
      <c r="A169">
        <v>14233</v>
      </c>
      <c r="B169" t="s">
        <v>31</v>
      </c>
      <c r="C169" t="str">
        <f t="shared" si="4"/>
        <v>Single</v>
      </c>
      <c r="D169" t="s">
        <v>30</v>
      </c>
      <c r="E169" t="str">
        <f t="shared" si="5"/>
        <v>Male</v>
      </c>
      <c r="F169" s="2">
        <v>100000</v>
      </c>
      <c r="G169">
        <v>0</v>
      </c>
      <c r="H169" t="s">
        <v>24</v>
      </c>
      <c r="I169" t="s">
        <v>25</v>
      </c>
      <c r="J169" t="s">
        <v>13</v>
      </c>
      <c r="K169">
        <v>3</v>
      </c>
      <c r="L169" t="s">
        <v>48</v>
      </c>
      <c r="M169" t="s">
        <v>21</v>
      </c>
      <c r="N169" s="2">
        <v>35</v>
      </c>
      <c r="O169" t="str" cm="1">
        <f t="array" ref="O169">_xlfn.IFS(
  AND(BikePurchase[[#This Row],[Age]]&gt;=18, BikePurchase[[#This Row],[Age]]&lt;=30), "Adolescent",
  AND(BikePurchase[[#This Row],[Age]]&gt;30, BikePurchase[[#This Row],[Age]]&lt;55), "Middle Aged",
  AND(BikePurchase[[#This Row],[Age]]&gt;=55, BikePurchase[[#This Row],[Age]]&lt;90), "Old",
  TRUE, "Invalid"
)</f>
        <v>Middle Aged</v>
      </c>
      <c r="P169" t="s">
        <v>15</v>
      </c>
      <c r="Q169" t="str">
        <f>IF(BikePurchase[[#This Row],[Purchased BikeX]]="No","Not Purchased","Purchased")</f>
        <v>Not Purchased</v>
      </c>
    </row>
    <row r="170" spans="1:17" x14ac:dyDescent="0.3">
      <c r="A170">
        <v>14058</v>
      </c>
      <c r="B170" t="s">
        <v>31</v>
      </c>
      <c r="C170" t="str">
        <f t="shared" si="4"/>
        <v>Single</v>
      </c>
      <c r="D170" t="s">
        <v>30</v>
      </c>
      <c r="E170" t="str">
        <f t="shared" si="5"/>
        <v>Male</v>
      </c>
      <c r="F170" s="2">
        <v>70000</v>
      </c>
      <c r="G170">
        <v>0</v>
      </c>
      <c r="H170" t="s">
        <v>11</v>
      </c>
      <c r="I170" t="s">
        <v>18</v>
      </c>
      <c r="J170" t="s">
        <v>15</v>
      </c>
      <c r="K170">
        <v>1</v>
      </c>
      <c r="L170" t="s">
        <v>20</v>
      </c>
      <c r="M170" t="s">
        <v>21</v>
      </c>
      <c r="N170" s="2">
        <v>41</v>
      </c>
      <c r="O170" t="str" cm="1">
        <f t="array" ref="O170">_xlfn.IFS(
  AND(BikePurchase[[#This Row],[Age]]&gt;=18, BikePurchase[[#This Row],[Age]]&lt;=30), "Adolescent",
  AND(BikePurchase[[#This Row],[Age]]&gt;30, BikePurchase[[#This Row],[Age]]&lt;55), "Middle Aged",
  AND(BikePurchase[[#This Row],[Age]]&gt;=55, BikePurchase[[#This Row],[Age]]&lt;90), "Old",
  TRUE, "Invalid"
)</f>
        <v>Middle Aged</v>
      </c>
      <c r="P170" t="s">
        <v>13</v>
      </c>
      <c r="Q170" t="str">
        <f>IF(BikePurchase[[#This Row],[Purchased BikeX]]="No","Not Purchased","Purchased")</f>
        <v>Purchased</v>
      </c>
    </row>
    <row r="171" spans="1:17" x14ac:dyDescent="0.3">
      <c r="A171">
        <v>12273</v>
      </c>
      <c r="B171" t="s">
        <v>30</v>
      </c>
      <c r="C171" t="str">
        <f t="shared" si="4"/>
        <v>Married</v>
      </c>
      <c r="D171" t="s">
        <v>30</v>
      </c>
      <c r="E171" t="str">
        <f t="shared" si="5"/>
        <v>Male</v>
      </c>
      <c r="F171" s="2">
        <v>30000</v>
      </c>
      <c r="G171">
        <v>1</v>
      </c>
      <c r="H171" t="s">
        <v>11</v>
      </c>
      <c r="I171" t="s">
        <v>17</v>
      </c>
      <c r="J171" t="s">
        <v>13</v>
      </c>
      <c r="K171">
        <v>0</v>
      </c>
      <c r="L171" t="s">
        <v>35</v>
      </c>
      <c r="M171" t="s">
        <v>14</v>
      </c>
      <c r="N171" s="2">
        <v>47</v>
      </c>
      <c r="O171" t="str" cm="1">
        <f t="array" ref="O171">_xlfn.IFS(
  AND(BikePurchase[[#This Row],[Age]]&gt;=18, BikePurchase[[#This Row],[Age]]&lt;=30), "Adolescent",
  AND(BikePurchase[[#This Row],[Age]]&gt;30, BikePurchase[[#This Row],[Age]]&lt;55), "Middle Aged",
  AND(BikePurchase[[#This Row],[Age]]&gt;=55, BikePurchase[[#This Row],[Age]]&lt;90), "Old",
  TRUE, "Invalid"
)</f>
        <v>Middle Aged</v>
      </c>
      <c r="P171" t="s">
        <v>15</v>
      </c>
      <c r="Q171" t="str">
        <f>IF(BikePurchase[[#This Row],[Purchased BikeX]]="No","Not Purchased","Purchased")</f>
        <v>Not Purchased</v>
      </c>
    </row>
    <row r="172" spans="1:17" x14ac:dyDescent="0.3">
      <c r="A172">
        <v>17203</v>
      </c>
      <c r="B172" t="s">
        <v>30</v>
      </c>
      <c r="C172" t="str">
        <f t="shared" si="4"/>
        <v>Married</v>
      </c>
      <c r="D172" t="s">
        <v>29</v>
      </c>
      <c r="E172" t="str">
        <f t="shared" si="5"/>
        <v>Female</v>
      </c>
      <c r="F172" s="2">
        <v>130000</v>
      </c>
      <c r="G172">
        <v>4</v>
      </c>
      <c r="H172" t="s">
        <v>16</v>
      </c>
      <c r="I172" t="s">
        <v>18</v>
      </c>
      <c r="J172" t="s">
        <v>13</v>
      </c>
      <c r="K172">
        <v>4</v>
      </c>
      <c r="L172" t="s">
        <v>20</v>
      </c>
      <c r="M172" t="s">
        <v>14</v>
      </c>
      <c r="N172" s="2">
        <v>61</v>
      </c>
      <c r="O172" t="str" cm="1">
        <f t="array" ref="O172">_xlfn.IFS(
  AND(BikePurchase[[#This Row],[Age]]&gt;=18, BikePurchase[[#This Row],[Age]]&lt;=30), "Adolescent",
  AND(BikePurchase[[#This Row],[Age]]&gt;30, BikePurchase[[#This Row],[Age]]&lt;55), "Middle Aged",
  AND(BikePurchase[[#This Row],[Age]]&gt;=55, BikePurchase[[#This Row],[Age]]&lt;90), "Old",
  TRUE, "Invalid"
)</f>
        <v>Old</v>
      </c>
      <c r="P172" t="s">
        <v>13</v>
      </c>
      <c r="Q172" t="str">
        <f>IF(BikePurchase[[#This Row],[Purchased BikeX]]="No","Not Purchased","Purchased")</f>
        <v>Purchased</v>
      </c>
    </row>
    <row r="173" spans="1:17" x14ac:dyDescent="0.3">
      <c r="A173">
        <v>18144</v>
      </c>
      <c r="B173" t="s">
        <v>30</v>
      </c>
      <c r="C173" t="str">
        <f t="shared" si="4"/>
        <v>Married</v>
      </c>
      <c r="D173" t="s">
        <v>29</v>
      </c>
      <c r="E173" t="str">
        <f t="shared" si="5"/>
        <v>Female</v>
      </c>
      <c r="F173" s="2">
        <v>80000</v>
      </c>
      <c r="G173">
        <v>5</v>
      </c>
      <c r="H173" t="s">
        <v>11</v>
      </c>
      <c r="I173" t="s">
        <v>25</v>
      </c>
      <c r="J173" t="s">
        <v>13</v>
      </c>
      <c r="K173">
        <v>2</v>
      </c>
      <c r="L173" t="s">
        <v>19</v>
      </c>
      <c r="M173" t="s">
        <v>14</v>
      </c>
      <c r="N173" s="2">
        <v>61</v>
      </c>
      <c r="O173" t="str" cm="1">
        <f t="array" ref="O173">_xlfn.IFS(
  AND(BikePurchase[[#This Row],[Age]]&gt;=18, BikePurchase[[#This Row],[Age]]&lt;=30), "Adolescent",
  AND(BikePurchase[[#This Row],[Age]]&gt;30, BikePurchase[[#This Row],[Age]]&lt;55), "Middle Aged",
  AND(BikePurchase[[#This Row],[Age]]&gt;=55, BikePurchase[[#This Row],[Age]]&lt;90), "Old",
  TRUE, "Invalid"
)</f>
        <v>Old</v>
      </c>
      <c r="P173" t="s">
        <v>15</v>
      </c>
      <c r="Q173" t="str">
        <f>IF(BikePurchase[[#This Row],[Purchased BikeX]]="No","Not Purchased","Purchased")</f>
        <v>Not Purchased</v>
      </c>
    </row>
    <row r="174" spans="1:17" x14ac:dyDescent="0.3">
      <c r="A174">
        <v>23963</v>
      </c>
      <c r="B174" t="s">
        <v>30</v>
      </c>
      <c r="C174" t="str">
        <f t="shared" si="4"/>
        <v>Married</v>
      </c>
      <c r="D174" t="s">
        <v>30</v>
      </c>
      <c r="E174" t="str">
        <f t="shared" si="5"/>
        <v>Male</v>
      </c>
      <c r="F174" s="2">
        <v>10000</v>
      </c>
      <c r="G174">
        <v>0</v>
      </c>
      <c r="H174" t="s">
        <v>26</v>
      </c>
      <c r="I174" t="s">
        <v>22</v>
      </c>
      <c r="J174" t="s">
        <v>15</v>
      </c>
      <c r="K174">
        <v>2</v>
      </c>
      <c r="L174" t="s">
        <v>35</v>
      </c>
      <c r="M174" t="s">
        <v>14</v>
      </c>
      <c r="N174" s="2">
        <v>33</v>
      </c>
      <c r="O174" t="str" cm="1">
        <f t="array" ref="O174">_xlfn.IFS(
  AND(BikePurchase[[#This Row],[Age]]&gt;=18, BikePurchase[[#This Row],[Age]]&lt;=30), "Adolescent",
  AND(BikePurchase[[#This Row],[Age]]&gt;30, BikePurchase[[#This Row],[Age]]&lt;55), "Middle Aged",
  AND(BikePurchase[[#This Row],[Age]]&gt;=55, BikePurchase[[#This Row],[Age]]&lt;90), "Old",
  TRUE, "Invalid"
)</f>
        <v>Middle Aged</v>
      </c>
      <c r="P174" t="s">
        <v>15</v>
      </c>
      <c r="Q174" t="str">
        <f>IF(BikePurchase[[#This Row],[Purchased BikeX]]="No","Not Purchased","Purchased")</f>
        <v>Not Purchased</v>
      </c>
    </row>
    <row r="175" spans="1:17" x14ac:dyDescent="0.3">
      <c r="A175">
        <v>17907</v>
      </c>
      <c r="B175" t="s">
        <v>30</v>
      </c>
      <c r="C175" t="str">
        <f t="shared" si="4"/>
        <v>Married</v>
      </c>
      <c r="D175" t="s">
        <v>29</v>
      </c>
      <c r="E175" t="str">
        <f t="shared" si="5"/>
        <v>Female</v>
      </c>
      <c r="F175" s="2">
        <v>10000</v>
      </c>
      <c r="G175">
        <v>0</v>
      </c>
      <c r="H175" t="s">
        <v>16</v>
      </c>
      <c r="I175" t="s">
        <v>22</v>
      </c>
      <c r="J175" t="s">
        <v>13</v>
      </c>
      <c r="K175">
        <v>1</v>
      </c>
      <c r="L175" t="s">
        <v>19</v>
      </c>
      <c r="M175" t="s">
        <v>21</v>
      </c>
      <c r="N175" s="2">
        <v>27</v>
      </c>
      <c r="O175" t="str" cm="1">
        <f t="array" ref="O175">_xlfn.IFS(
  AND(BikePurchase[[#This Row],[Age]]&gt;=18, BikePurchase[[#This Row],[Age]]&lt;=30), "Adolescent",
  AND(BikePurchase[[#This Row],[Age]]&gt;30, BikePurchase[[#This Row],[Age]]&lt;55), "Middle Aged",
  AND(BikePurchase[[#This Row],[Age]]&gt;=55, BikePurchase[[#This Row],[Age]]&lt;90), "Old",
  TRUE, "Invalid"
)</f>
        <v>Adolescent</v>
      </c>
      <c r="P175" t="s">
        <v>15</v>
      </c>
      <c r="Q175" t="str">
        <f>IF(BikePurchase[[#This Row],[Purchased BikeX]]="No","Not Purchased","Purchased")</f>
        <v>Not Purchased</v>
      </c>
    </row>
    <row r="176" spans="1:17" x14ac:dyDescent="0.3">
      <c r="A176">
        <v>19442</v>
      </c>
      <c r="B176" t="s">
        <v>31</v>
      </c>
      <c r="C176" t="str">
        <f t="shared" si="4"/>
        <v>Single</v>
      </c>
      <c r="D176" t="s">
        <v>30</v>
      </c>
      <c r="E176" t="str">
        <f t="shared" si="5"/>
        <v>Male</v>
      </c>
      <c r="F176" s="2">
        <v>50000</v>
      </c>
      <c r="G176">
        <v>0</v>
      </c>
      <c r="H176" t="s">
        <v>27</v>
      </c>
      <c r="I176" t="s">
        <v>12</v>
      </c>
      <c r="J176" t="s">
        <v>13</v>
      </c>
      <c r="K176">
        <v>0</v>
      </c>
      <c r="L176" t="s">
        <v>35</v>
      </c>
      <c r="M176" t="s">
        <v>14</v>
      </c>
      <c r="N176" s="2">
        <v>37</v>
      </c>
      <c r="O176" t="str" cm="1">
        <f t="array" ref="O176">_xlfn.IFS(
  AND(BikePurchase[[#This Row],[Age]]&gt;=18, BikePurchase[[#This Row],[Age]]&lt;=30), "Adolescent",
  AND(BikePurchase[[#This Row],[Age]]&gt;30, BikePurchase[[#This Row],[Age]]&lt;55), "Middle Aged",
  AND(BikePurchase[[#This Row],[Age]]&gt;=55, BikePurchase[[#This Row],[Age]]&lt;90), "Old",
  TRUE, "Invalid"
)</f>
        <v>Middle Aged</v>
      </c>
      <c r="P176" t="s">
        <v>13</v>
      </c>
      <c r="Q176" t="str">
        <f>IF(BikePurchase[[#This Row],[Purchased BikeX]]="No","Not Purchased","Purchased")</f>
        <v>Purchased</v>
      </c>
    </row>
    <row r="177" spans="1:17" x14ac:dyDescent="0.3">
      <c r="A177">
        <v>17504</v>
      </c>
      <c r="B177" t="s">
        <v>31</v>
      </c>
      <c r="C177" t="str">
        <f t="shared" si="4"/>
        <v>Single</v>
      </c>
      <c r="D177" t="s">
        <v>29</v>
      </c>
      <c r="E177" t="str">
        <f t="shared" si="5"/>
        <v>Female</v>
      </c>
      <c r="F177" s="2">
        <v>80000</v>
      </c>
      <c r="G177">
        <v>2</v>
      </c>
      <c r="H177" t="s">
        <v>16</v>
      </c>
      <c r="I177" t="s">
        <v>12</v>
      </c>
      <c r="J177" t="s">
        <v>13</v>
      </c>
      <c r="K177">
        <v>2</v>
      </c>
      <c r="L177" t="s">
        <v>20</v>
      </c>
      <c r="M177" t="s">
        <v>21</v>
      </c>
      <c r="N177" s="2">
        <v>52</v>
      </c>
      <c r="O177" t="str" cm="1">
        <f t="array" ref="O177">_xlfn.IFS(
  AND(BikePurchase[[#This Row],[Age]]&gt;=18, BikePurchase[[#This Row],[Age]]&lt;=30), "Adolescent",
  AND(BikePurchase[[#This Row],[Age]]&gt;30, BikePurchase[[#This Row],[Age]]&lt;55), "Middle Aged",
  AND(BikePurchase[[#This Row],[Age]]&gt;=55, BikePurchase[[#This Row],[Age]]&lt;90), "Old",
  TRUE, "Invalid"
)</f>
        <v>Middle Aged</v>
      </c>
      <c r="P177" t="s">
        <v>13</v>
      </c>
      <c r="Q177" t="str">
        <f>IF(BikePurchase[[#This Row],[Purchased BikeX]]="No","Not Purchased","Purchased")</f>
        <v>Purchased</v>
      </c>
    </row>
    <row r="178" spans="1:17" x14ac:dyDescent="0.3">
      <c r="A178">
        <v>12253</v>
      </c>
      <c r="B178" t="s">
        <v>31</v>
      </c>
      <c r="C178" t="str">
        <f t="shared" si="4"/>
        <v>Single</v>
      </c>
      <c r="D178" t="s">
        <v>29</v>
      </c>
      <c r="E178" t="str">
        <f t="shared" si="5"/>
        <v>Female</v>
      </c>
      <c r="F178" s="2">
        <v>20000</v>
      </c>
      <c r="G178">
        <v>0</v>
      </c>
      <c r="H178" t="s">
        <v>16</v>
      </c>
      <c r="I178" t="s">
        <v>22</v>
      </c>
      <c r="J178" t="s">
        <v>13</v>
      </c>
      <c r="K178">
        <v>0</v>
      </c>
      <c r="L178" t="s">
        <v>35</v>
      </c>
      <c r="M178" t="s">
        <v>21</v>
      </c>
      <c r="N178" s="2">
        <v>29</v>
      </c>
      <c r="O178" t="str" cm="1">
        <f t="array" ref="O178">_xlfn.IFS(
  AND(BikePurchase[[#This Row],[Age]]&gt;=18, BikePurchase[[#This Row],[Age]]&lt;=30), "Adolescent",
  AND(BikePurchase[[#This Row],[Age]]&gt;30, BikePurchase[[#This Row],[Age]]&lt;55), "Middle Aged",
  AND(BikePurchase[[#This Row],[Age]]&gt;=55, BikePurchase[[#This Row],[Age]]&lt;90), "Old",
  TRUE, "Invalid"
)</f>
        <v>Adolescent</v>
      </c>
      <c r="P178" t="s">
        <v>13</v>
      </c>
      <c r="Q178" t="str">
        <f>IF(BikePurchase[[#This Row],[Purchased BikeX]]="No","Not Purchased","Purchased")</f>
        <v>Purchased</v>
      </c>
    </row>
    <row r="179" spans="1:17" x14ac:dyDescent="0.3">
      <c r="A179">
        <v>27304</v>
      </c>
      <c r="B179" t="s">
        <v>31</v>
      </c>
      <c r="C179" t="str">
        <f t="shared" si="4"/>
        <v>Single</v>
      </c>
      <c r="D179" t="s">
        <v>29</v>
      </c>
      <c r="E179" t="str">
        <f t="shared" si="5"/>
        <v>Female</v>
      </c>
      <c r="F179" s="2">
        <v>110000</v>
      </c>
      <c r="G179">
        <v>2</v>
      </c>
      <c r="H179" t="s">
        <v>16</v>
      </c>
      <c r="I179" t="s">
        <v>18</v>
      </c>
      <c r="J179" t="s">
        <v>15</v>
      </c>
      <c r="K179">
        <v>3</v>
      </c>
      <c r="L179" t="s">
        <v>20</v>
      </c>
      <c r="M179" t="s">
        <v>14</v>
      </c>
      <c r="N179" s="2">
        <v>48</v>
      </c>
      <c r="O179" t="str" cm="1">
        <f t="array" ref="O179">_xlfn.IFS(
  AND(BikePurchase[[#This Row],[Age]]&gt;=18, BikePurchase[[#This Row],[Age]]&lt;=30), "Adolescent",
  AND(BikePurchase[[#This Row],[Age]]&gt;30, BikePurchase[[#This Row],[Age]]&lt;55), "Middle Aged",
  AND(BikePurchase[[#This Row],[Age]]&gt;=55, BikePurchase[[#This Row],[Age]]&lt;90), "Old",
  TRUE, "Invalid"
)</f>
        <v>Middle Aged</v>
      </c>
      <c r="P179" t="s">
        <v>15</v>
      </c>
      <c r="Q179" t="str">
        <f>IF(BikePurchase[[#This Row],[Purchased BikeX]]="No","Not Purchased","Purchased")</f>
        <v>Not Purchased</v>
      </c>
    </row>
    <row r="180" spans="1:17" x14ac:dyDescent="0.3">
      <c r="A180">
        <v>14191</v>
      </c>
      <c r="B180" t="s">
        <v>30</v>
      </c>
      <c r="C180" t="str">
        <f t="shared" si="4"/>
        <v>Married</v>
      </c>
      <c r="D180" t="s">
        <v>30</v>
      </c>
      <c r="E180" t="str">
        <f t="shared" si="5"/>
        <v>Male</v>
      </c>
      <c r="F180" s="2">
        <v>160000</v>
      </c>
      <c r="G180">
        <v>4</v>
      </c>
      <c r="H180" t="s">
        <v>16</v>
      </c>
      <c r="I180" t="s">
        <v>18</v>
      </c>
      <c r="J180" t="s">
        <v>15</v>
      </c>
      <c r="K180">
        <v>2</v>
      </c>
      <c r="L180" t="s">
        <v>48</v>
      </c>
      <c r="M180" t="s">
        <v>14</v>
      </c>
      <c r="N180" s="2">
        <v>55</v>
      </c>
      <c r="O180" t="str" cm="1">
        <f t="array" ref="O180">_xlfn.IFS(
  AND(BikePurchase[[#This Row],[Age]]&gt;=18, BikePurchase[[#This Row],[Age]]&lt;=30), "Adolescent",
  AND(BikePurchase[[#This Row],[Age]]&gt;30, BikePurchase[[#This Row],[Age]]&lt;55), "Middle Aged",
  AND(BikePurchase[[#This Row],[Age]]&gt;=55, BikePurchase[[#This Row],[Age]]&lt;90), "Old",
  TRUE, "Invalid"
)</f>
        <v>Old</v>
      </c>
      <c r="P180" t="s">
        <v>13</v>
      </c>
      <c r="Q180" t="str">
        <f>IF(BikePurchase[[#This Row],[Purchased BikeX]]="No","Not Purchased","Purchased")</f>
        <v>Purchased</v>
      </c>
    </row>
    <row r="181" spans="1:17" x14ac:dyDescent="0.3">
      <c r="A181">
        <v>12212</v>
      </c>
      <c r="B181" t="s">
        <v>30</v>
      </c>
      <c r="C181" t="str">
        <f t="shared" si="4"/>
        <v>Married</v>
      </c>
      <c r="D181" t="s">
        <v>29</v>
      </c>
      <c r="E181" t="str">
        <f t="shared" si="5"/>
        <v>Female</v>
      </c>
      <c r="F181" s="2">
        <v>10000</v>
      </c>
      <c r="G181">
        <v>0</v>
      </c>
      <c r="H181" t="s">
        <v>27</v>
      </c>
      <c r="I181" t="s">
        <v>22</v>
      </c>
      <c r="J181" t="s">
        <v>13</v>
      </c>
      <c r="K181">
        <v>0</v>
      </c>
      <c r="L181" t="s">
        <v>35</v>
      </c>
      <c r="M181" t="s">
        <v>14</v>
      </c>
      <c r="N181" s="2">
        <v>37</v>
      </c>
      <c r="O181" t="str" cm="1">
        <f t="array" ref="O181">_xlfn.IFS(
  AND(BikePurchase[[#This Row],[Age]]&gt;=18, BikePurchase[[#This Row],[Age]]&lt;=30), "Adolescent",
  AND(BikePurchase[[#This Row],[Age]]&gt;30, BikePurchase[[#This Row],[Age]]&lt;55), "Middle Aged",
  AND(BikePurchase[[#This Row],[Age]]&gt;=55, BikePurchase[[#This Row],[Age]]&lt;90), "Old",
  TRUE, "Invalid"
)</f>
        <v>Middle Aged</v>
      </c>
      <c r="P181" t="s">
        <v>13</v>
      </c>
      <c r="Q181" t="str">
        <f>IF(BikePurchase[[#This Row],[Purchased BikeX]]="No","Not Purchased","Purchased")</f>
        <v>Purchased</v>
      </c>
    </row>
    <row r="182" spans="1:17" x14ac:dyDescent="0.3">
      <c r="A182">
        <v>25529</v>
      </c>
      <c r="B182" t="s">
        <v>31</v>
      </c>
      <c r="C182" t="str">
        <f t="shared" si="4"/>
        <v>Single</v>
      </c>
      <c r="D182" t="s">
        <v>30</v>
      </c>
      <c r="E182" t="str">
        <f t="shared" si="5"/>
        <v>Male</v>
      </c>
      <c r="F182" s="2">
        <v>10000</v>
      </c>
      <c r="G182">
        <v>1</v>
      </c>
      <c r="H182" t="s">
        <v>27</v>
      </c>
      <c r="I182" t="s">
        <v>22</v>
      </c>
      <c r="J182" t="s">
        <v>13</v>
      </c>
      <c r="K182">
        <v>0</v>
      </c>
      <c r="L182" t="s">
        <v>35</v>
      </c>
      <c r="M182" t="s">
        <v>14</v>
      </c>
      <c r="N182" s="2">
        <v>44</v>
      </c>
      <c r="O182" t="str" cm="1">
        <f t="array" ref="O182">_xlfn.IFS(
  AND(BikePurchase[[#This Row],[Age]]&gt;=18, BikePurchase[[#This Row],[Age]]&lt;=30), "Adolescent",
  AND(BikePurchase[[#This Row],[Age]]&gt;30, BikePurchase[[#This Row],[Age]]&lt;55), "Middle Aged",
  AND(BikePurchase[[#This Row],[Age]]&gt;=55, BikePurchase[[#This Row],[Age]]&lt;90), "Old",
  TRUE, "Invalid"
)</f>
        <v>Middle Aged</v>
      </c>
      <c r="P182" t="s">
        <v>15</v>
      </c>
      <c r="Q182" t="str">
        <f>IF(BikePurchase[[#This Row],[Purchased BikeX]]="No","Not Purchased","Purchased")</f>
        <v>Not Purchased</v>
      </c>
    </row>
    <row r="183" spans="1:17" x14ac:dyDescent="0.3">
      <c r="A183">
        <v>22170</v>
      </c>
      <c r="B183" t="s">
        <v>30</v>
      </c>
      <c r="C183" t="str">
        <f t="shared" si="4"/>
        <v>Married</v>
      </c>
      <c r="D183" t="s">
        <v>29</v>
      </c>
      <c r="E183" t="str">
        <f t="shared" si="5"/>
        <v>Female</v>
      </c>
      <c r="F183" s="2">
        <v>30000</v>
      </c>
      <c r="G183">
        <v>3</v>
      </c>
      <c r="H183" t="s">
        <v>16</v>
      </c>
      <c r="I183" t="s">
        <v>17</v>
      </c>
      <c r="J183" t="s">
        <v>15</v>
      </c>
      <c r="K183">
        <v>2</v>
      </c>
      <c r="L183" t="s">
        <v>23</v>
      </c>
      <c r="M183" t="s">
        <v>21</v>
      </c>
      <c r="N183" s="2">
        <v>55</v>
      </c>
      <c r="O183" t="str" cm="1">
        <f t="array" ref="O183">_xlfn.IFS(
  AND(BikePurchase[[#This Row],[Age]]&gt;=18, BikePurchase[[#This Row],[Age]]&lt;=30), "Adolescent",
  AND(BikePurchase[[#This Row],[Age]]&gt;30, BikePurchase[[#This Row],[Age]]&lt;55), "Middle Aged",
  AND(BikePurchase[[#This Row],[Age]]&gt;=55, BikePurchase[[#This Row],[Age]]&lt;90), "Old",
  TRUE, "Invalid"
)</f>
        <v>Old</v>
      </c>
      <c r="P183" t="s">
        <v>13</v>
      </c>
      <c r="Q183" t="str">
        <f>IF(BikePurchase[[#This Row],[Purchased BikeX]]="No","Not Purchased","Purchased")</f>
        <v>Purchased</v>
      </c>
    </row>
    <row r="184" spans="1:17" x14ac:dyDescent="0.3">
      <c r="A184">
        <v>19445</v>
      </c>
      <c r="B184" t="s">
        <v>30</v>
      </c>
      <c r="C184" t="str">
        <f t="shared" si="4"/>
        <v>Married</v>
      </c>
      <c r="D184" t="s">
        <v>29</v>
      </c>
      <c r="E184" t="str">
        <f t="shared" si="5"/>
        <v>Female</v>
      </c>
      <c r="F184" s="2">
        <v>10000</v>
      </c>
      <c r="G184">
        <v>2</v>
      </c>
      <c r="H184" t="s">
        <v>24</v>
      </c>
      <c r="I184" t="s">
        <v>22</v>
      </c>
      <c r="J184" t="s">
        <v>15</v>
      </c>
      <c r="K184">
        <v>1</v>
      </c>
      <c r="L184" t="s">
        <v>35</v>
      </c>
      <c r="M184" t="s">
        <v>14</v>
      </c>
      <c r="N184" s="2">
        <v>38</v>
      </c>
      <c r="O184" t="str" cm="1">
        <f t="array" ref="O184">_xlfn.IFS(
  AND(BikePurchase[[#This Row],[Age]]&gt;=18, BikePurchase[[#This Row],[Age]]&lt;=30), "Adolescent",
  AND(BikePurchase[[#This Row],[Age]]&gt;30, BikePurchase[[#This Row],[Age]]&lt;55), "Middle Aged",
  AND(BikePurchase[[#This Row],[Age]]&gt;=55, BikePurchase[[#This Row],[Age]]&lt;90), "Old",
  TRUE, "Invalid"
)</f>
        <v>Middle Aged</v>
      </c>
      <c r="P184" t="s">
        <v>15</v>
      </c>
      <c r="Q184" t="str">
        <f>IF(BikePurchase[[#This Row],[Purchased BikeX]]="No","Not Purchased","Purchased")</f>
        <v>Not Purchased</v>
      </c>
    </row>
    <row r="185" spans="1:17" x14ac:dyDescent="0.3">
      <c r="A185">
        <v>15265</v>
      </c>
      <c r="B185" t="s">
        <v>31</v>
      </c>
      <c r="C185" t="str">
        <f t="shared" si="4"/>
        <v>Single</v>
      </c>
      <c r="D185" t="s">
        <v>30</v>
      </c>
      <c r="E185" t="str">
        <f t="shared" si="5"/>
        <v>Male</v>
      </c>
      <c r="F185" s="2">
        <v>40000</v>
      </c>
      <c r="G185">
        <v>2</v>
      </c>
      <c r="H185" t="s">
        <v>11</v>
      </c>
      <c r="I185" t="s">
        <v>25</v>
      </c>
      <c r="J185" t="s">
        <v>13</v>
      </c>
      <c r="K185">
        <v>2</v>
      </c>
      <c r="L185" t="s">
        <v>20</v>
      </c>
      <c r="M185" t="s">
        <v>21</v>
      </c>
      <c r="N185" s="2">
        <v>66</v>
      </c>
      <c r="O185" t="str" cm="1">
        <f t="array" ref="O185">_xlfn.IFS(
  AND(BikePurchase[[#This Row],[Age]]&gt;=18, BikePurchase[[#This Row],[Age]]&lt;=30), "Adolescent",
  AND(BikePurchase[[#This Row],[Age]]&gt;30, BikePurchase[[#This Row],[Age]]&lt;55), "Middle Aged",
  AND(BikePurchase[[#This Row],[Age]]&gt;=55, BikePurchase[[#This Row],[Age]]&lt;90), "Old",
  TRUE, "Invalid"
)</f>
        <v>Old</v>
      </c>
      <c r="P185" t="s">
        <v>13</v>
      </c>
      <c r="Q185" t="str">
        <f>IF(BikePurchase[[#This Row],[Purchased BikeX]]="No","Not Purchased","Purchased")</f>
        <v>Purchased</v>
      </c>
    </row>
    <row r="186" spans="1:17" x14ac:dyDescent="0.3">
      <c r="A186">
        <v>28918</v>
      </c>
      <c r="B186" t="s">
        <v>30</v>
      </c>
      <c r="C186" t="str">
        <f t="shared" si="4"/>
        <v>Married</v>
      </c>
      <c r="D186" t="s">
        <v>29</v>
      </c>
      <c r="E186" t="str">
        <f t="shared" si="5"/>
        <v>Female</v>
      </c>
      <c r="F186" s="2">
        <v>130000</v>
      </c>
      <c r="G186">
        <v>4</v>
      </c>
      <c r="H186" t="s">
        <v>24</v>
      </c>
      <c r="I186" t="s">
        <v>25</v>
      </c>
      <c r="J186" t="s">
        <v>15</v>
      </c>
      <c r="K186">
        <v>4</v>
      </c>
      <c r="L186" t="s">
        <v>48</v>
      </c>
      <c r="M186" t="s">
        <v>14</v>
      </c>
      <c r="N186" s="2">
        <v>58</v>
      </c>
      <c r="O186" t="str" cm="1">
        <f t="array" ref="O186">_xlfn.IFS(
  AND(BikePurchase[[#This Row],[Age]]&gt;=18, BikePurchase[[#This Row],[Age]]&lt;=30), "Adolescent",
  AND(BikePurchase[[#This Row],[Age]]&gt;30, BikePurchase[[#This Row],[Age]]&lt;55), "Middle Aged",
  AND(BikePurchase[[#This Row],[Age]]&gt;=55, BikePurchase[[#This Row],[Age]]&lt;90), "Old",
  TRUE, "Invalid"
)</f>
        <v>Old</v>
      </c>
      <c r="P186" t="s">
        <v>15</v>
      </c>
      <c r="Q186" t="str">
        <f>IF(BikePurchase[[#This Row],[Purchased BikeX]]="No","Not Purchased","Purchased")</f>
        <v>Not Purchased</v>
      </c>
    </row>
    <row r="187" spans="1:17" x14ac:dyDescent="0.3">
      <c r="A187">
        <v>15799</v>
      </c>
      <c r="B187" t="s">
        <v>30</v>
      </c>
      <c r="C187" t="str">
        <f t="shared" si="4"/>
        <v>Married</v>
      </c>
      <c r="D187" t="s">
        <v>29</v>
      </c>
      <c r="E187" t="str">
        <f t="shared" si="5"/>
        <v>Female</v>
      </c>
      <c r="F187" s="2">
        <v>90000</v>
      </c>
      <c r="G187">
        <v>1</v>
      </c>
      <c r="H187" t="s">
        <v>11</v>
      </c>
      <c r="I187" t="s">
        <v>18</v>
      </c>
      <c r="J187" t="s">
        <v>13</v>
      </c>
      <c r="K187">
        <v>1</v>
      </c>
      <c r="L187" t="s">
        <v>19</v>
      </c>
      <c r="M187" t="s">
        <v>21</v>
      </c>
      <c r="N187" s="2">
        <v>47</v>
      </c>
      <c r="O187" t="str" cm="1">
        <f t="array" ref="O187">_xlfn.IFS(
  AND(BikePurchase[[#This Row],[Age]]&gt;=18, BikePurchase[[#This Row],[Age]]&lt;=30), "Adolescent",
  AND(BikePurchase[[#This Row],[Age]]&gt;30, BikePurchase[[#This Row],[Age]]&lt;55), "Middle Aged",
  AND(BikePurchase[[#This Row],[Age]]&gt;=55, BikePurchase[[#This Row],[Age]]&lt;90), "Old",
  TRUE, "Invalid"
)</f>
        <v>Middle Aged</v>
      </c>
      <c r="P187" t="s">
        <v>13</v>
      </c>
      <c r="Q187" t="str">
        <f>IF(BikePurchase[[#This Row],[Purchased BikeX]]="No","Not Purchased","Purchased")</f>
        <v>Purchased</v>
      </c>
    </row>
    <row r="188" spans="1:17" x14ac:dyDescent="0.3">
      <c r="A188">
        <v>11047</v>
      </c>
      <c r="B188" t="s">
        <v>30</v>
      </c>
      <c r="C188" t="str">
        <f t="shared" si="4"/>
        <v>Married</v>
      </c>
      <c r="D188" t="s">
        <v>29</v>
      </c>
      <c r="E188" t="str">
        <f t="shared" si="5"/>
        <v>Female</v>
      </c>
      <c r="F188" s="2">
        <v>30000</v>
      </c>
      <c r="G188">
        <v>3</v>
      </c>
      <c r="H188" t="s">
        <v>24</v>
      </c>
      <c r="I188" t="s">
        <v>12</v>
      </c>
      <c r="J188" t="s">
        <v>15</v>
      </c>
      <c r="K188">
        <v>2</v>
      </c>
      <c r="L188" t="s">
        <v>23</v>
      </c>
      <c r="M188" t="s">
        <v>21</v>
      </c>
      <c r="N188" s="2">
        <v>56</v>
      </c>
      <c r="O188" t="str" cm="1">
        <f t="array" ref="O188">_xlfn.IFS(
  AND(BikePurchase[[#This Row],[Age]]&gt;=18, BikePurchase[[#This Row],[Age]]&lt;=30), "Adolescent",
  AND(BikePurchase[[#This Row],[Age]]&gt;30, BikePurchase[[#This Row],[Age]]&lt;55), "Middle Aged",
  AND(BikePurchase[[#This Row],[Age]]&gt;=55, BikePurchase[[#This Row],[Age]]&lt;90), "Old",
  TRUE, "Invalid"
)</f>
        <v>Old</v>
      </c>
      <c r="P188" t="s">
        <v>13</v>
      </c>
      <c r="Q188" t="str">
        <f>IF(BikePurchase[[#This Row],[Purchased BikeX]]="No","Not Purchased","Purchased")</f>
        <v>Purchased</v>
      </c>
    </row>
    <row r="189" spans="1:17" x14ac:dyDescent="0.3">
      <c r="A189">
        <v>18151</v>
      </c>
      <c r="B189" t="s">
        <v>31</v>
      </c>
      <c r="C189" t="str">
        <f t="shared" si="4"/>
        <v>Single</v>
      </c>
      <c r="D189" t="s">
        <v>30</v>
      </c>
      <c r="E189" t="str">
        <f t="shared" si="5"/>
        <v>Male</v>
      </c>
      <c r="F189" s="2">
        <v>80000</v>
      </c>
      <c r="G189">
        <v>5</v>
      </c>
      <c r="H189" t="s">
        <v>16</v>
      </c>
      <c r="I189" t="s">
        <v>18</v>
      </c>
      <c r="J189" t="s">
        <v>15</v>
      </c>
      <c r="K189">
        <v>2</v>
      </c>
      <c r="L189" t="s">
        <v>48</v>
      </c>
      <c r="M189" t="s">
        <v>14</v>
      </c>
      <c r="N189" s="2">
        <v>59</v>
      </c>
      <c r="O189" t="str" cm="1">
        <f t="array" ref="O189">_xlfn.IFS(
  AND(BikePurchase[[#This Row],[Age]]&gt;=18, BikePurchase[[#This Row],[Age]]&lt;=30), "Adolescent",
  AND(BikePurchase[[#This Row],[Age]]&gt;30, BikePurchase[[#This Row],[Age]]&lt;55), "Middle Aged",
  AND(BikePurchase[[#This Row],[Age]]&gt;=55, BikePurchase[[#This Row],[Age]]&lt;90), "Old",
  TRUE, "Invalid"
)</f>
        <v>Old</v>
      </c>
      <c r="P189" t="s">
        <v>15</v>
      </c>
      <c r="Q189" t="str">
        <f>IF(BikePurchase[[#This Row],[Purchased BikeX]]="No","Not Purchased","Purchased")</f>
        <v>Not Purchased</v>
      </c>
    </row>
    <row r="190" spans="1:17" x14ac:dyDescent="0.3">
      <c r="A190">
        <v>20606</v>
      </c>
      <c r="B190" t="s">
        <v>30</v>
      </c>
      <c r="C190" t="str">
        <f t="shared" si="4"/>
        <v>Married</v>
      </c>
      <c r="D190" t="s">
        <v>29</v>
      </c>
      <c r="E190" t="str">
        <f t="shared" si="5"/>
        <v>Female</v>
      </c>
      <c r="F190" s="2">
        <v>70000</v>
      </c>
      <c r="G190">
        <v>0</v>
      </c>
      <c r="H190" t="s">
        <v>11</v>
      </c>
      <c r="I190" t="s">
        <v>18</v>
      </c>
      <c r="J190" t="s">
        <v>13</v>
      </c>
      <c r="K190">
        <v>4</v>
      </c>
      <c r="L190" t="s">
        <v>48</v>
      </c>
      <c r="M190" t="s">
        <v>21</v>
      </c>
      <c r="N190" s="2">
        <v>32</v>
      </c>
      <c r="O190" t="str" cm="1">
        <f t="array" ref="O190">_xlfn.IFS(
  AND(BikePurchase[[#This Row],[Age]]&gt;=18, BikePurchase[[#This Row],[Age]]&lt;=30), "Adolescent",
  AND(BikePurchase[[#This Row],[Age]]&gt;30, BikePurchase[[#This Row],[Age]]&lt;55), "Middle Aged",
  AND(BikePurchase[[#This Row],[Age]]&gt;=55, BikePurchase[[#This Row],[Age]]&lt;90), "Old",
  TRUE, "Invalid"
)</f>
        <v>Middle Aged</v>
      </c>
      <c r="P190" t="s">
        <v>13</v>
      </c>
      <c r="Q190" t="str">
        <f>IF(BikePurchase[[#This Row],[Purchased BikeX]]="No","Not Purchased","Purchased")</f>
        <v>Purchased</v>
      </c>
    </row>
    <row r="191" spans="1:17" x14ac:dyDescent="0.3">
      <c r="A191">
        <v>19482</v>
      </c>
      <c r="B191" t="s">
        <v>30</v>
      </c>
      <c r="C191" t="str">
        <f t="shared" si="4"/>
        <v>Married</v>
      </c>
      <c r="D191" t="s">
        <v>30</v>
      </c>
      <c r="E191" t="str">
        <f t="shared" si="5"/>
        <v>Male</v>
      </c>
      <c r="F191" s="2">
        <v>30000</v>
      </c>
      <c r="G191">
        <v>1</v>
      </c>
      <c r="H191" t="s">
        <v>16</v>
      </c>
      <c r="I191" t="s">
        <v>17</v>
      </c>
      <c r="J191" t="s">
        <v>13</v>
      </c>
      <c r="K191">
        <v>1</v>
      </c>
      <c r="L191" t="s">
        <v>35</v>
      </c>
      <c r="M191" t="s">
        <v>14</v>
      </c>
      <c r="N191" s="2">
        <v>44</v>
      </c>
      <c r="O191" t="str" cm="1">
        <f t="array" ref="O191">_xlfn.IFS(
  AND(BikePurchase[[#This Row],[Age]]&gt;=18, BikePurchase[[#This Row],[Age]]&lt;=30), "Adolescent",
  AND(BikePurchase[[#This Row],[Age]]&gt;30, BikePurchase[[#This Row],[Age]]&lt;55), "Middle Aged",
  AND(BikePurchase[[#This Row],[Age]]&gt;=55, BikePurchase[[#This Row],[Age]]&lt;90), "Old",
  TRUE, "Invalid"
)</f>
        <v>Middle Aged</v>
      </c>
      <c r="P191" t="s">
        <v>13</v>
      </c>
      <c r="Q191" t="str">
        <f>IF(BikePurchase[[#This Row],[Purchased BikeX]]="No","Not Purchased","Purchased")</f>
        <v>Purchased</v>
      </c>
    </row>
    <row r="192" spans="1:17" x14ac:dyDescent="0.3">
      <c r="A192">
        <v>16489</v>
      </c>
      <c r="B192" t="s">
        <v>30</v>
      </c>
      <c r="C192" t="str">
        <f t="shared" si="4"/>
        <v>Married</v>
      </c>
      <c r="D192" t="s">
        <v>30</v>
      </c>
      <c r="E192" t="str">
        <f t="shared" si="5"/>
        <v>Male</v>
      </c>
      <c r="F192" s="2">
        <v>30000</v>
      </c>
      <c r="G192">
        <v>3</v>
      </c>
      <c r="H192" t="s">
        <v>24</v>
      </c>
      <c r="I192" t="s">
        <v>12</v>
      </c>
      <c r="J192" t="s">
        <v>13</v>
      </c>
      <c r="K192">
        <v>2</v>
      </c>
      <c r="L192" t="s">
        <v>20</v>
      </c>
      <c r="M192" t="s">
        <v>21</v>
      </c>
      <c r="N192" s="2">
        <v>55</v>
      </c>
      <c r="O192" t="str" cm="1">
        <f t="array" ref="O192">_xlfn.IFS(
  AND(BikePurchase[[#This Row],[Age]]&gt;=18, BikePurchase[[#This Row],[Age]]&lt;=30), "Adolescent",
  AND(BikePurchase[[#This Row],[Age]]&gt;30, BikePurchase[[#This Row],[Age]]&lt;55), "Middle Aged",
  AND(BikePurchase[[#This Row],[Age]]&gt;=55, BikePurchase[[#This Row],[Age]]&lt;90), "Old",
  TRUE, "Invalid"
)</f>
        <v>Old</v>
      </c>
      <c r="P192" t="s">
        <v>15</v>
      </c>
      <c r="Q192" t="str">
        <f>IF(BikePurchase[[#This Row],[Purchased BikeX]]="No","Not Purchased","Purchased")</f>
        <v>Not Purchased</v>
      </c>
    </row>
    <row r="193" spans="1:17" x14ac:dyDescent="0.3">
      <c r="A193">
        <v>26944</v>
      </c>
      <c r="B193" t="s">
        <v>31</v>
      </c>
      <c r="C193" t="str">
        <f t="shared" si="4"/>
        <v>Single</v>
      </c>
      <c r="D193" t="s">
        <v>30</v>
      </c>
      <c r="E193" t="str">
        <f t="shared" si="5"/>
        <v>Male</v>
      </c>
      <c r="F193" s="2">
        <v>90000</v>
      </c>
      <c r="G193">
        <v>2</v>
      </c>
      <c r="H193" t="s">
        <v>24</v>
      </c>
      <c r="I193" t="s">
        <v>22</v>
      </c>
      <c r="J193" t="s">
        <v>13</v>
      </c>
      <c r="K193">
        <v>0</v>
      </c>
      <c r="L193" t="s">
        <v>35</v>
      </c>
      <c r="M193" t="s">
        <v>14</v>
      </c>
      <c r="N193" s="2">
        <v>36</v>
      </c>
      <c r="O193" t="str" cm="1">
        <f t="array" ref="O193">_xlfn.IFS(
  AND(BikePurchase[[#This Row],[Age]]&gt;=18, BikePurchase[[#This Row],[Age]]&lt;=30), "Adolescent",
  AND(BikePurchase[[#This Row],[Age]]&gt;30, BikePurchase[[#This Row],[Age]]&lt;55), "Middle Aged",
  AND(BikePurchase[[#This Row],[Age]]&gt;=55, BikePurchase[[#This Row],[Age]]&lt;90), "Old",
  TRUE, "Invalid"
)</f>
        <v>Middle Aged</v>
      </c>
      <c r="P193" t="s">
        <v>13</v>
      </c>
      <c r="Q193" t="str">
        <f>IF(BikePurchase[[#This Row],[Purchased BikeX]]="No","Not Purchased","Purchased")</f>
        <v>Purchased</v>
      </c>
    </row>
    <row r="194" spans="1:17" x14ac:dyDescent="0.3">
      <c r="A194">
        <v>15682</v>
      </c>
      <c r="B194" t="s">
        <v>31</v>
      </c>
      <c r="C194" t="str">
        <f t="shared" ref="C194:C257" si="6">IF(B194="M","Married","Single")</f>
        <v>Single</v>
      </c>
      <c r="D194" t="s">
        <v>29</v>
      </c>
      <c r="E194" t="str">
        <f t="shared" ref="E194:E257" si="7">IF(D194="F","Female","Male")</f>
        <v>Female</v>
      </c>
      <c r="F194" s="2">
        <v>80000</v>
      </c>
      <c r="G194">
        <v>5</v>
      </c>
      <c r="H194" t="s">
        <v>11</v>
      </c>
      <c r="I194" t="s">
        <v>25</v>
      </c>
      <c r="J194" t="s">
        <v>13</v>
      </c>
      <c r="K194">
        <v>2</v>
      </c>
      <c r="L194" t="s">
        <v>48</v>
      </c>
      <c r="M194" t="s">
        <v>14</v>
      </c>
      <c r="N194" s="2">
        <v>62</v>
      </c>
      <c r="O194" t="str" cm="1">
        <f t="array" ref="O194">_xlfn.IFS(
  AND(BikePurchase[[#This Row],[Age]]&gt;=18, BikePurchase[[#This Row],[Age]]&lt;=30), "Adolescent",
  AND(BikePurchase[[#This Row],[Age]]&gt;30, BikePurchase[[#This Row],[Age]]&lt;55), "Middle Aged",
  AND(BikePurchase[[#This Row],[Age]]&gt;=55, BikePurchase[[#This Row],[Age]]&lt;90), "Old",
  TRUE, "Invalid"
)</f>
        <v>Old</v>
      </c>
      <c r="P194" t="s">
        <v>15</v>
      </c>
      <c r="Q194" t="str">
        <f>IF(BikePurchase[[#This Row],[Purchased BikeX]]="No","Not Purchased","Purchased")</f>
        <v>Not Purchased</v>
      </c>
    </row>
    <row r="195" spans="1:17" x14ac:dyDescent="0.3">
      <c r="A195">
        <v>26032</v>
      </c>
      <c r="B195" t="s">
        <v>30</v>
      </c>
      <c r="C195" t="str">
        <f t="shared" si="6"/>
        <v>Married</v>
      </c>
      <c r="D195" t="s">
        <v>29</v>
      </c>
      <c r="E195" t="str">
        <f t="shared" si="7"/>
        <v>Female</v>
      </c>
      <c r="F195" s="2">
        <v>70000</v>
      </c>
      <c r="G195">
        <v>5</v>
      </c>
      <c r="H195" t="s">
        <v>11</v>
      </c>
      <c r="I195" t="s">
        <v>18</v>
      </c>
      <c r="J195" t="s">
        <v>13</v>
      </c>
      <c r="K195">
        <v>4</v>
      </c>
      <c r="L195" t="s">
        <v>48</v>
      </c>
      <c r="M195" t="s">
        <v>21</v>
      </c>
      <c r="N195" s="2">
        <v>41</v>
      </c>
      <c r="O195" t="str" cm="1">
        <f t="array" ref="O195">_xlfn.IFS(
  AND(BikePurchase[[#This Row],[Age]]&gt;=18, BikePurchase[[#This Row],[Age]]&lt;=30), "Adolescent",
  AND(BikePurchase[[#This Row],[Age]]&gt;30, BikePurchase[[#This Row],[Age]]&lt;55), "Middle Aged",
  AND(BikePurchase[[#This Row],[Age]]&gt;=55, BikePurchase[[#This Row],[Age]]&lt;90), "Old",
  TRUE, "Invalid"
)</f>
        <v>Middle Aged</v>
      </c>
      <c r="P195" t="s">
        <v>15</v>
      </c>
      <c r="Q195" t="str">
        <f>IF(BikePurchase[[#This Row],[Purchased BikeX]]="No","Not Purchased","Purchased")</f>
        <v>Not Purchased</v>
      </c>
    </row>
    <row r="196" spans="1:17" x14ac:dyDescent="0.3">
      <c r="A196">
        <v>17843</v>
      </c>
      <c r="B196" t="s">
        <v>31</v>
      </c>
      <c r="C196" t="str">
        <f t="shared" si="6"/>
        <v>Single</v>
      </c>
      <c r="D196" t="s">
        <v>29</v>
      </c>
      <c r="E196" t="str">
        <f t="shared" si="7"/>
        <v>Female</v>
      </c>
      <c r="F196" s="2">
        <v>10000</v>
      </c>
      <c r="G196">
        <v>0</v>
      </c>
      <c r="H196" t="s">
        <v>26</v>
      </c>
      <c r="I196" t="s">
        <v>22</v>
      </c>
      <c r="J196" t="s">
        <v>15</v>
      </c>
      <c r="K196">
        <v>2</v>
      </c>
      <c r="L196" t="s">
        <v>35</v>
      </c>
      <c r="M196" t="s">
        <v>14</v>
      </c>
      <c r="N196" s="2">
        <v>32</v>
      </c>
      <c r="O196" t="str" cm="1">
        <f t="array" ref="O196">_xlfn.IFS(
  AND(BikePurchase[[#This Row],[Age]]&gt;=18, BikePurchase[[#This Row],[Age]]&lt;=30), "Adolescent",
  AND(BikePurchase[[#This Row],[Age]]&gt;30, BikePurchase[[#This Row],[Age]]&lt;55), "Middle Aged",
  AND(BikePurchase[[#This Row],[Age]]&gt;=55, BikePurchase[[#This Row],[Age]]&lt;90), "Old",
  TRUE, "Invalid"
)</f>
        <v>Middle Aged</v>
      </c>
      <c r="P196" t="s">
        <v>15</v>
      </c>
      <c r="Q196" t="str">
        <f>IF(BikePurchase[[#This Row],[Purchased BikeX]]="No","Not Purchased","Purchased")</f>
        <v>Not Purchased</v>
      </c>
    </row>
    <row r="197" spans="1:17" x14ac:dyDescent="0.3">
      <c r="A197">
        <v>25559</v>
      </c>
      <c r="B197" t="s">
        <v>31</v>
      </c>
      <c r="C197" t="str">
        <f t="shared" si="6"/>
        <v>Single</v>
      </c>
      <c r="D197" t="s">
        <v>30</v>
      </c>
      <c r="E197" t="str">
        <f t="shared" si="7"/>
        <v>Male</v>
      </c>
      <c r="F197" s="2">
        <v>20000</v>
      </c>
      <c r="G197">
        <v>0</v>
      </c>
      <c r="H197" t="s">
        <v>11</v>
      </c>
      <c r="I197" t="s">
        <v>17</v>
      </c>
      <c r="J197" t="s">
        <v>13</v>
      </c>
      <c r="K197">
        <v>0</v>
      </c>
      <c r="L197" t="s">
        <v>35</v>
      </c>
      <c r="M197" t="s">
        <v>21</v>
      </c>
      <c r="N197" s="2">
        <v>25</v>
      </c>
      <c r="O197" t="str" cm="1">
        <f t="array" ref="O197">_xlfn.IFS(
  AND(BikePurchase[[#This Row],[Age]]&gt;=18, BikePurchase[[#This Row],[Age]]&lt;=30), "Adolescent",
  AND(BikePurchase[[#This Row],[Age]]&gt;30, BikePurchase[[#This Row],[Age]]&lt;55), "Middle Aged",
  AND(BikePurchase[[#This Row],[Age]]&gt;=55, BikePurchase[[#This Row],[Age]]&lt;90), "Old",
  TRUE, "Invalid"
)</f>
        <v>Adolescent</v>
      </c>
      <c r="P197" t="s">
        <v>13</v>
      </c>
      <c r="Q197" t="str">
        <f>IF(BikePurchase[[#This Row],[Purchased BikeX]]="No","Not Purchased","Purchased")</f>
        <v>Purchased</v>
      </c>
    </row>
    <row r="198" spans="1:17" x14ac:dyDescent="0.3">
      <c r="A198">
        <v>16209</v>
      </c>
      <c r="B198" t="s">
        <v>31</v>
      </c>
      <c r="C198" t="str">
        <f t="shared" si="6"/>
        <v>Single</v>
      </c>
      <c r="D198" t="s">
        <v>29</v>
      </c>
      <c r="E198" t="str">
        <f t="shared" si="7"/>
        <v>Female</v>
      </c>
      <c r="F198" s="2">
        <v>50000</v>
      </c>
      <c r="G198">
        <v>0</v>
      </c>
      <c r="H198" t="s">
        <v>27</v>
      </c>
      <c r="I198" t="s">
        <v>12</v>
      </c>
      <c r="J198" t="s">
        <v>13</v>
      </c>
      <c r="K198">
        <v>0</v>
      </c>
      <c r="L198" t="s">
        <v>23</v>
      </c>
      <c r="M198" t="s">
        <v>14</v>
      </c>
      <c r="N198" s="2">
        <v>36</v>
      </c>
      <c r="O198" t="str" cm="1">
        <f t="array" ref="O198">_xlfn.IFS(
  AND(BikePurchase[[#This Row],[Age]]&gt;=18, BikePurchase[[#This Row],[Age]]&lt;=30), "Adolescent",
  AND(BikePurchase[[#This Row],[Age]]&gt;30, BikePurchase[[#This Row],[Age]]&lt;55), "Middle Aged",
  AND(BikePurchase[[#This Row],[Age]]&gt;=55, BikePurchase[[#This Row],[Age]]&lt;90), "Old",
  TRUE, "Invalid"
)</f>
        <v>Middle Aged</v>
      </c>
      <c r="P198" t="s">
        <v>15</v>
      </c>
      <c r="Q198" t="str">
        <f>IF(BikePurchase[[#This Row],[Purchased BikeX]]="No","Not Purchased","Purchased")</f>
        <v>Not Purchased</v>
      </c>
    </row>
    <row r="199" spans="1:17" x14ac:dyDescent="0.3">
      <c r="A199">
        <v>11147</v>
      </c>
      <c r="B199" t="s">
        <v>30</v>
      </c>
      <c r="C199" t="str">
        <f t="shared" si="6"/>
        <v>Married</v>
      </c>
      <c r="D199" t="s">
        <v>30</v>
      </c>
      <c r="E199" t="str">
        <f t="shared" si="7"/>
        <v>Male</v>
      </c>
      <c r="F199" s="2">
        <v>60000</v>
      </c>
      <c r="G199">
        <v>2</v>
      </c>
      <c r="H199" t="s">
        <v>27</v>
      </c>
      <c r="I199" t="s">
        <v>25</v>
      </c>
      <c r="J199" t="s">
        <v>13</v>
      </c>
      <c r="K199">
        <v>1</v>
      </c>
      <c r="L199" t="s">
        <v>35</v>
      </c>
      <c r="M199" t="s">
        <v>21</v>
      </c>
      <c r="N199" s="2">
        <v>67</v>
      </c>
      <c r="O199" t="str" cm="1">
        <f t="array" ref="O199">_xlfn.IFS(
  AND(BikePurchase[[#This Row],[Age]]&gt;=18, BikePurchase[[#This Row],[Age]]&lt;=30), "Adolescent",
  AND(BikePurchase[[#This Row],[Age]]&gt;30, BikePurchase[[#This Row],[Age]]&lt;55), "Middle Aged",
  AND(BikePurchase[[#This Row],[Age]]&gt;=55, BikePurchase[[#This Row],[Age]]&lt;90), "Old",
  TRUE, "Invalid"
)</f>
        <v>Old</v>
      </c>
      <c r="P199" t="s">
        <v>13</v>
      </c>
      <c r="Q199" t="str">
        <f>IF(BikePurchase[[#This Row],[Purchased BikeX]]="No","Not Purchased","Purchased")</f>
        <v>Purchased</v>
      </c>
    </row>
    <row r="200" spans="1:17" x14ac:dyDescent="0.3">
      <c r="A200">
        <v>15214</v>
      </c>
      <c r="B200" t="s">
        <v>31</v>
      </c>
      <c r="C200" t="str">
        <f t="shared" si="6"/>
        <v>Single</v>
      </c>
      <c r="D200" t="s">
        <v>29</v>
      </c>
      <c r="E200" t="str">
        <f t="shared" si="7"/>
        <v>Female</v>
      </c>
      <c r="F200" s="2">
        <v>100000</v>
      </c>
      <c r="G200">
        <v>0</v>
      </c>
      <c r="H200" t="s">
        <v>27</v>
      </c>
      <c r="I200" t="s">
        <v>25</v>
      </c>
      <c r="J200" t="s">
        <v>15</v>
      </c>
      <c r="K200">
        <v>1</v>
      </c>
      <c r="L200" t="s">
        <v>23</v>
      </c>
      <c r="M200" t="s">
        <v>21</v>
      </c>
      <c r="N200" s="2">
        <v>39</v>
      </c>
      <c r="O200" t="str" cm="1">
        <f t="array" ref="O200">_xlfn.IFS(
  AND(BikePurchase[[#This Row],[Age]]&gt;=18, BikePurchase[[#This Row],[Age]]&lt;=30), "Adolescent",
  AND(BikePurchase[[#This Row],[Age]]&gt;30, BikePurchase[[#This Row],[Age]]&lt;55), "Middle Aged",
  AND(BikePurchase[[#This Row],[Age]]&gt;=55, BikePurchase[[#This Row],[Age]]&lt;90), "Old",
  TRUE, "Invalid"
)</f>
        <v>Middle Aged</v>
      </c>
      <c r="P200" t="s">
        <v>13</v>
      </c>
      <c r="Q200" t="str">
        <f>IF(BikePurchase[[#This Row],[Purchased BikeX]]="No","Not Purchased","Purchased")</f>
        <v>Purchased</v>
      </c>
    </row>
    <row r="201" spans="1:17" x14ac:dyDescent="0.3">
      <c r="A201">
        <v>11453</v>
      </c>
      <c r="B201" t="s">
        <v>31</v>
      </c>
      <c r="C201" t="str">
        <f t="shared" si="6"/>
        <v>Single</v>
      </c>
      <c r="D201" t="s">
        <v>30</v>
      </c>
      <c r="E201" t="str">
        <f t="shared" si="7"/>
        <v>Male</v>
      </c>
      <c r="F201" s="2">
        <v>80000</v>
      </c>
      <c r="G201">
        <v>0</v>
      </c>
      <c r="H201" t="s">
        <v>11</v>
      </c>
      <c r="I201" t="s">
        <v>18</v>
      </c>
      <c r="J201" t="s">
        <v>15</v>
      </c>
      <c r="K201">
        <v>3</v>
      </c>
      <c r="L201" t="s">
        <v>48</v>
      </c>
      <c r="M201" t="s">
        <v>21</v>
      </c>
      <c r="N201" s="2">
        <v>33</v>
      </c>
      <c r="O201" t="str" cm="1">
        <f t="array" ref="O201">_xlfn.IFS(
  AND(BikePurchase[[#This Row],[Age]]&gt;=18, BikePurchase[[#This Row],[Age]]&lt;=30), "Adolescent",
  AND(BikePurchase[[#This Row],[Age]]&gt;30, BikePurchase[[#This Row],[Age]]&lt;55), "Middle Aged",
  AND(BikePurchase[[#This Row],[Age]]&gt;=55, BikePurchase[[#This Row],[Age]]&lt;90), "Old",
  TRUE, "Invalid"
)</f>
        <v>Middle Aged</v>
      </c>
      <c r="P201" t="s">
        <v>13</v>
      </c>
      <c r="Q201" t="str">
        <f>IF(BikePurchase[[#This Row],[Purchased BikeX]]="No","Not Purchased","Purchased")</f>
        <v>Purchased</v>
      </c>
    </row>
    <row r="202" spans="1:17" x14ac:dyDescent="0.3">
      <c r="A202">
        <v>24584</v>
      </c>
      <c r="B202" t="s">
        <v>31</v>
      </c>
      <c r="C202" t="str">
        <f t="shared" si="6"/>
        <v>Single</v>
      </c>
      <c r="D202" t="s">
        <v>30</v>
      </c>
      <c r="E202" t="str">
        <f t="shared" si="7"/>
        <v>Male</v>
      </c>
      <c r="F202" s="2">
        <v>60000</v>
      </c>
      <c r="G202">
        <v>0</v>
      </c>
      <c r="H202" t="s">
        <v>11</v>
      </c>
      <c r="I202" t="s">
        <v>18</v>
      </c>
      <c r="J202" t="s">
        <v>15</v>
      </c>
      <c r="K202">
        <v>3</v>
      </c>
      <c r="L202" t="s">
        <v>19</v>
      </c>
      <c r="M202" t="s">
        <v>21</v>
      </c>
      <c r="N202" s="2">
        <v>31</v>
      </c>
      <c r="O202" t="str" cm="1">
        <f t="array" ref="O202">_xlfn.IFS(
  AND(BikePurchase[[#This Row],[Age]]&gt;=18, BikePurchase[[#This Row],[Age]]&lt;=30), "Adolescent",
  AND(BikePurchase[[#This Row],[Age]]&gt;30, BikePurchase[[#This Row],[Age]]&lt;55), "Middle Aged",
  AND(BikePurchase[[#This Row],[Age]]&gt;=55, BikePurchase[[#This Row],[Age]]&lt;90), "Old",
  TRUE, "Invalid"
)</f>
        <v>Middle Aged</v>
      </c>
      <c r="P202" t="s">
        <v>15</v>
      </c>
      <c r="Q202" t="str">
        <f>IF(BikePurchase[[#This Row],[Purchased BikeX]]="No","Not Purchased","Purchased")</f>
        <v>Not Purchased</v>
      </c>
    </row>
    <row r="203" spans="1:17" x14ac:dyDescent="0.3">
      <c r="A203">
        <v>12585</v>
      </c>
      <c r="B203" t="s">
        <v>30</v>
      </c>
      <c r="C203" t="str">
        <f t="shared" si="6"/>
        <v>Married</v>
      </c>
      <c r="D203" t="s">
        <v>30</v>
      </c>
      <c r="E203" t="str">
        <f t="shared" si="7"/>
        <v>Male</v>
      </c>
      <c r="F203" s="2">
        <v>10000</v>
      </c>
      <c r="G203">
        <v>1</v>
      </c>
      <c r="H203" t="s">
        <v>24</v>
      </c>
      <c r="I203" t="s">
        <v>22</v>
      </c>
      <c r="J203" t="s">
        <v>13</v>
      </c>
      <c r="K203">
        <v>0</v>
      </c>
      <c r="L203" t="s">
        <v>19</v>
      </c>
      <c r="M203" t="s">
        <v>21</v>
      </c>
      <c r="N203" s="2">
        <v>27</v>
      </c>
      <c r="O203" t="str" cm="1">
        <f t="array" ref="O203">_xlfn.IFS(
  AND(BikePurchase[[#This Row],[Age]]&gt;=18, BikePurchase[[#This Row],[Age]]&lt;=30), "Adolescent",
  AND(BikePurchase[[#This Row],[Age]]&gt;30, BikePurchase[[#This Row],[Age]]&lt;55), "Middle Aged",
  AND(BikePurchase[[#This Row],[Age]]&gt;=55, BikePurchase[[#This Row],[Age]]&lt;90), "Old",
  TRUE, "Invalid"
)</f>
        <v>Adolescent</v>
      </c>
      <c r="P203" t="s">
        <v>13</v>
      </c>
      <c r="Q203" t="str">
        <f>IF(BikePurchase[[#This Row],[Purchased BikeX]]="No","Not Purchased","Purchased")</f>
        <v>Purchased</v>
      </c>
    </row>
    <row r="204" spans="1:17" x14ac:dyDescent="0.3">
      <c r="A204">
        <v>18626</v>
      </c>
      <c r="B204" t="s">
        <v>31</v>
      </c>
      <c r="C204" t="str">
        <f t="shared" si="6"/>
        <v>Single</v>
      </c>
      <c r="D204" t="s">
        <v>30</v>
      </c>
      <c r="E204" t="str">
        <f t="shared" si="7"/>
        <v>Male</v>
      </c>
      <c r="F204" s="2">
        <v>40000</v>
      </c>
      <c r="G204">
        <v>2</v>
      </c>
      <c r="H204" t="s">
        <v>16</v>
      </c>
      <c r="I204" t="s">
        <v>17</v>
      </c>
      <c r="J204" t="s">
        <v>13</v>
      </c>
      <c r="K204">
        <v>0</v>
      </c>
      <c r="L204" t="s">
        <v>23</v>
      </c>
      <c r="M204" t="s">
        <v>14</v>
      </c>
      <c r="N204" s="2">
        <v>33</v>
      </c>
      <c r="O204" t="str" cm="1">
        <f t="array" ref="O204">_xlfn.IFS(
  AND(BikePurchase[[#This Row],[Age]]&gt;=18, BikePurchase[[#This Row],[Age]]&lt;=30), "Adolescent",
  AND(BikePurchase[[#This Row],[Age]]&gt;30, BikePurchase[[#This Row],[Age]]&lt;55), "Middle Aged",
  AND(BikePurchase[[#This Row],[Age]]&gt;=55, BikePurchase[[#This Row],[Age]]&lt;90), "Old",
  TRUE, "Invalid"
)</f>
        <v>Middle Aged</v>
      </c>
      <c r="P204" t="s">
        <v>13</v>
      </c>
      <c r="Q204" t="str">
        <f>IF(BikePurchase[[#This Row],[Purchased BikeX]]="No","Not Purchased","Purchased")</f>
        <v>Purchased</v>
      </c>
    </row>
    <row r="205" spans="1:17" x14ac:dyDescent="0.3">
      <c r="A205">
        <v>29298</v>
      </c>
      <c r="B205" t="s">
        <v>31</v>
      </c>
      <c r="C205" t="str">
        <f t="shared" si="6"/>
        <v>Single</v>
      </c>
      <c r="D205" t="s">
        <v>29</v>
      </c>
      <c r="E205" t="str">
        <f t="shared" si="7"/>
        <v>Female</v>
      </c>
      <c r="F205" s="2">
        <v>60000</v>
      </c>
      <c r="G205">
        <v>1</v>
      </c>
      <c r="H205" t="s">
        <v>16</v>
      </c>
      <c r="I205" t="s">
        <v>12</v>
      </c>
      <c r="J205" t="s">
        <v>13</v>
      </c>
      <c r="K205">
        <v>1</v>
      </c>
      <c r="L205" t="s">
        <v>20</v>
      </c>
      <c r="M205" t="s">
        <v>21</v>
      </c>
      <c r="N205" s="2">
        <v>46</v>
      </c>
      <c r="O205" t="str" cm="1">
        <f t="array" ref="O205">_xlfn.IFS(
  AND(BikePurchase[[#This Row],[Age]]&gt;=18, BikePurchase[[#This Row],[Age]]&lt;=30), "Adolescent",
  AND(BikePurchase[[#This Row],[Age]]&gt;30, BikePurchase[[#This Row],[Age]]&lt;55), "Middle Aged",
  AND(BikePurchase[[#This Row],[Age]]&gt;=55, BikePurchase[[#This Row],[Age]]&lt;90), "Old",
  TRUE, "Invalid"
)</f>
        <v>Middle Aged</v>
      </c>
      <c r="P205" t="s">
        <v>13</v>
      </c>
      <c r="Q205" t="str">
        <f>IF(BikePurchase[[#This Row],[Purchased BikeX]]="No","Not Purchased","Purchased")</f>
        <v>Purchased</v>
      </c>
    </row>
    <row r="206" spans="1:17" x14ac:dyDescent="0.3">
      <c r="A206">
        <v>24842</v>
      </c>
      <c r="B206" t="s">
        <v>31</v>
      </c>
      <c r="C206" t="str">
        <f t="shared" si="6"/>
        <v>Single</v>
      </c>
      <c r="D206" t="s">
        <v>29</v>
      </c>
      <c r="E206" t="str">
        <f t="shared" si="7"/>
        <v>Female</v>
      </c>
      <c r="F206" s="2">
        <v>90000</v>
      </c>
      <c r="G206">
        <v>3</v>
      </c>
      <c r="H206" t="s">
        <v>24</v>
      </c>
      <c r="I206" t="s">
        <v>18</v>
      </c>
      <c r="J206" t="s">
        <v>15</v>
      </c>
      <c r="K206">
        <v>1</v>
      </c>
      <c r="L206" t="s">
        <v>19</v>
      </c>
      <c r="M206" t="s">
        <v>14</v>
      </c>
      <c r="N206" s="2">
        <v>51</v>
      </c>
      <c r="O206" t="str" cm="1">
        <f t="array" ref="O206">_xlfn.IFS(
  AND(BikePurchase[[#This Row],[Age]]&gt;=18, BikePurchase[[#This Row],[Age]]&lt;=30), "Adolescent",
  AND(BikePurchase[[#This Row],[Age]]&gt;30, BikePurchase[[#This Row],[Age]]&lt;55), "Middle Aged",
  AND(BikePurchase[[#This Row],[Age]]&gt;=55, BikePurchase[[#This Row],[Age]]&lt;90), "Old",
  TRUE, "Invalid"
)</f>
        <v>Middle Aged</v>
      </c>
      <c r="P206" t="s">
        <v>15</v>
      </c>
      <c r="Q206" t="str">
        <f>IF(BikePurchase[[#This Row],[Purchased BikeX]]="No","Not Purchased","Purchased")</f>
        <v>Not Purchased</v>
      </c>
    </row>
    <row r="207" spans="1:17" x14ac:dyDescent="0.3">
      <c r="A207">
        <v>15657</v>
      </c>
      <c r="B207" t="s">
        <v>30</v>
      </c>
      <c r="C207" t="str">
        <f t="shared" si="6"/>
        <v>Married</v>
      </c>
      <c r="D207" t="s">
        <v>30</v>
      </c>
      <c r="E207" t="str">
        <f t="shared" si="7"/>
        <v>Male</v>
      </c>
      <c r="F207" s="2">
        <v>30000</v>
      </c>
      <c r="G207">
        <v>3</v>
      </c>
      <c r="H207" t="s">
        <v>27</v>
      </c>
      <c r="I207" t="s">
        <v>17</v>
      </c>
      <c r="J207" t="s">
        <v>13</v>
      </c>
      <c r="K207">
        <v>0</v>
      </c>
      <c r="L207" t="s">
        <v>35</v>
      </c>
      <c r="M207" t="s">
        <v>14</v>
      </c>
      <c r="N207" s="2">
        <v>46</v>
      </c>
      <c r="O207" t="str" cm="1">
        <f t="array" ref="O207">_xlfn.IFS(
  AND(BikePurchase[[#This Row],[Age]]&gt;=18, BikePurchase[[#This Row],[Age]]&lt;=30), "Adolescent",
  AND(BikePurchase[[#This Row],[Age]]&gt;30, BikePurchase[[#This Row],[Age]]&lt;55), "Middle Aged",
  AND(BikePurchase[[#This Row],[Age]]&gt;=55, BikePurchase[[#This Row],[Age]]&lt;90), "Old",
  TRUE, "Invalid"
)</f>
        <v>Middle Aged</v>
      </c>
      <c r="P207" t="s">
        <v>13</v>
      </c>
      <c r="Q207" t="str">
        <f>IF(BikePurchase[[#This Row],[Purchased BikeX]]="No","Not Purchased","Purchased")</f>
        <v>Purchased</v>
      </c>
    </row>
    <row r="208" spans="1:17" x14ac:dyDescent="0.3">
      <c r="A208">
        <v>11415</v>
      </c>
      <c r="B208" t="s">
        <v>31</v>
      </c>
      <c r="C208" t="str">
        <f t="shared" si="6"/>
        <v>Single</v>
      </c>
      <c r="D208" t="s">
        <v>30</v>
      </c>
      <c r="E208" t="str">
        <f t="shared" si="7"/>
        <v>Male</v>
      </c>
      <c r="F208" s="2">
        <v>90000</v>
      </c>
      <c r="G208">
        <v>5</v>
      </c>
      <c r="H208" t="s">
        <v>16</v>
      </c>
      <c r="I208" t="s">
        <v>18</v>
      </c>
      <c r="J208" t="s">
        <v>15</v>
      </c>
      <c r="K208">
        <v>2</v>
      </c>
      <c r="L208" t="s">
        <v>48</v>
      </c>
      <c r="M208" t="s">
        <v>14</v>
      </c>
      <c r="N208" s="2">
        <v>62</v>
      </c>
      <c r="O208" t="str" cm="1">
        <f t="array" ref="O208">_xlfn.IFS(
  AND(BikePurchase[[#This Row],[Age]]&gt;=18, BikePurchase[[#This Row],[Age]]&lt;=30), "Adolescent",
  AND(BikePurchase[[#This Row],[Age]]&gt;30, BikePurchase[[#This Row],[Age]]&lt;55), "Middle Aged",
  AND(BikePurchase[[#This Row],[Age]]&gt;=55, BikePurchase[[#This Row],[Age]]&lt;90), "Old",
  TRUE, "Invalid"
)</f>
        <v>Old</v>
      </c>
      <c r="P208" t="s">
        <v>15</v>
      </c>
      <c r="Q208" t="str">
        <f>IF(BikePurchase[[#This Row],[Purchased BikeX]]="No","Not Purchased","Purchased")</f>
        <v>Not Purchased</v>
      </c>
    </row>
    <row r="209" spans="1:17" x14ac:dyDescent="0.3">
      <c r="A209">
        <v>28729</v>
      </c>
      <c r="B209" t="s">
        <v>31</v>
      </c>
      <c r="C209" t="str">
        <f t="shared" si="6"/>
        <v>Single</v>
      </c>
      <c r="D209" t="s">
        <v>29</v>
      </c>
      <c r="E209" t="str">
        <f t="shared" si="7"/>
        <v>Female</v>
      </c>
      <c r="F209" s="2">
        <v>20000</v>
      </c>
      <c r="G209">
        <v>0</v>
      </c>
      <c r="H209" t="s">
        <v>26</v>
      </c>
      <c r="I209" t="s">
        <v>22</v>
      </c>
      <c r="J209" t="s">
        <v>13</v>
      </c>
      <c r="K209">
        <v>2</v>
      </c>
      <c r="L209" t="s">
        <v>23</v>
      </c>
      <c r="M209" t="s">
        <v>14</v>
      </c>
      <c r="N209" s="2">
        <v>26</v>
      </c>
      <c r="O209" t="str" cm="1">
        <f t="array" ref="O209">_xlfn.IFS(
  AND(BikePurchase[[#This Row],[Age]]&gt;=18, BikePurchase[[#This Row],[Age]]&lt;=30), "Adolescent",
  AND(BikePurchase[[#This Row],[Age]]&gt;30, BikePurchase[[#This Row],[Age]]&lt;55), "Middle Aged",
  AND(BikePurchase[[#This Row],[Age]]&gt;=55, BikePurchase[[#This Row],[Age]]&lt;90), "Old",
  TRUE, "Invalid"
)</f>
        <v>Adolescent</v>
      </c>
      <c r="P209" t="s">
        <v>13</v>
      </c>
      <c r="Q209" t="str">
        <f>IF(BikePurchase[[#This Row],[Purchased BikeX]]="No","Not Purchased","Purchased")</f>
        <v>Purchased</v>
      </c>
    </row>
    <row r="210" spans="1:17" x14ac:dyDescent="0.3">
      <c r="A210">
        <v>22633</v>
      </c>
      <c r="B210" t="s">
        <v>31</v>
      </c>
      <c r="C210" t="str">
        <f t="shared" si="6"/>
        <v>Single</v>
      </c>
      <c r="D210" t="s">
        <v>29</v>
      </c>
      <c r="E210" t="str">
        <f t="shared" si="7"/>
        <v>Female</v>
      </c>
      <c r="F210" s="2">
        <v>40000</v>
      </c>
      <c r="G210">
        <v>0</v>
      </c>
      <c r="H210" t="s">
        <v>27</v>
      </c>
      <c r="I210" t="s">
        <v>17</v>
      </c>
      <c r="J210" t="s">
        <v>13</v>
      </c>
      <c r="K210">
        <v>0</v>
      </c>
      <c r="L210" t="s">
        <v>35</v>
      </c>
      <c r="M210" t="s">
        <v>14</v>
      </c>
      <c r="N210" s="2">
        <v>37</v>
      </c>
      <c r="O210" t="str" cm="1">
        <f t="array" ref="O210">_xlfn.IFS(
  AND(BikePurchase[[#This Row],[Age]]&gt;=18, BikePurchase[[#This Row],[Age]]&lt;=30), "Adolescent",
  AND(BikePurchase[[#This Row],[Age]]&gt;30, BikePurchase[[#This Row],[Age]]&lt;55), "Middle Aged",
  AND(BikePurchase[[#This Row],[Age]]&gt;=55, BikePurchase[[#This Row],[Age]]&lt;90), "Old",
  TRUE, "Invalid"
)</f>
        <v>Middle Aged</v>
      </c>
      <c r="P210" t="s">
        <v>13</v>
      </c>
      <c r="Q210" t="str">
        <f>IF(BikePurchase[[#This Row],[Purchased BikeX]]="No","Not Purchased","Purchased")</f>
        <v>Purchased</v>
      </c>
    </row>
    <row r="211" spans="1:17" x14ac:dyDescent="0.3">
      <c r="A211">
        <v>25649</v>
      </c>
      <c r="B211" t="s">
        <v>31</v>
      </c>
      <c r="C211" t="str">
        <f t="shared" si="6"/>
        <v>Single</v>
      </c>
      <c r="D211" t="s">
        <v>29</v>
      </c>
      <c r="E211" t="str">
        <f t="shared" si="7"/>
        <v>Female</v>
      </c>
      <c r="F211" s="2">
        <v>30000</v>
      </c>
      <c r="G211">
        <v>3</v>
      </c>
      <c r="H211" t="s">
        <v>16</v>
      </c>
      <c r="I211" t="s">
        <v>17</v>
      </c>
      <c r="J211" t="s">
        <v>13</v>
      </c>
      <c r="K211">
        <v>0</v>
      </c>
      <c r="L211" t="s">
        <v>35</v>
      </c>
      <c r="M211" t="s">
        <v>14</v>
      </c>
      <c r="N211" s="2">
        <v>42</v>
      </c>
      <c r="O211" t="str" cm="1">
        <f t="array" ref="O211">_xlfn.IFS(
  AND(BikePurchase[[#This Row],[Age]]&gt;=18, BikePurchase[[#This Row],[Age]]&lt;=30), "Adolescent",
  AND(BikePurchase[[#This Row],[Age]]&gt;30, BikePurchase[[#This Row],[Age]]&lt;55), "Middle Aged",
  AND(BikePurchase[[#This Row],[Age]]&gt;=55, BikePurchase[[#This Row],[Age]]&lt;90), "Old",
  TRUE, "Invalid"
)</f>
        <v>Middle Aged</v>
      </c>
      <c r="P211" t="s">
        <v>13</v>
      </c>
      <c r="Q211" t="str">
        <f>IF(BikePurchase[[#This Row],[Purchased BikeX]]="No","Not Purchased","Purchased")</f>
        <v>Purchased</v>
      </c>
    </row>
    <row r="212" spans="1:17" x14ac:dyDescent="0.3">
      <c r="A212">
        <v>14669</v>
      </c>
      <c r="B212" t="s">
        <v>30</v>
      </c>
      <c r="C212" t="str">
        <f t="shared" si="6"/>
        <v>Married</v>
      </c>
      <c r="D212" t="s">
        <v>29</v>
      </c>
      <c r="E212" t="str">
        <f t="shared" si="7"/>
        <v>Female</v>
      </c>
      <c r="F212" s="2">
        <v>80000</v>
      </c>
      <c r="G212">
        <v>4</v>
      </c>
      <c r="H212" t="s">
        <v>27</v>
      </c>
      <c r="I212" t="s">
        <v>25</v>
      </c>
      <c r="J212" t="s">
        <v>13</v>
      </c>
      <c r="K212">
        <v>1</v>
      </c>
      <c r="L212" t="s">
        <v>35</v>
      </c>
      <c r="M212" t="s">
        <v>21</v>
      </c>
      <c r="N212" s="2">
        <v>36</v>
      </c>
      <c r="O212" t="str" cm="1">
        <f t="array" ref="O212">_xlfn.IFS(
  AND(BikePurchase[[#This Row],[Age]]&gt;=18, BikePurchase[[#This Row],[Age]]&lt;=30), "Adolescent",
  AND(BikePurchase[[#This Row],[Age]]&gt;30, BikePurchase[[#This Row],[Age]]&lt;55), "Middle Aged",
  AND(BikePurchase[[#This Row],[Age]]&gt;=55, BikePurchase[[#This Row],[Age]]&lt;90), "Old",
  TRUE, "Invalid"
)</f>
        <v>Middle Aged</v>
      </c>
      <c r="P212" t="s">
        <v>15</v>
      </c>
      <c r="Q212" t="str">
        <f>IF(BikePurchase[[#This Row],[Purchased BikeX]]="No","Not Purchased","Purchased")</f>
        <v>Not Purchased</v>
      </c>
    </row>
    <row r="213" spans="1:17" x14ac:dyDescent="0.3">
      <c r="A213">
        <v>19299</v>
      </c>
      <c r="B213" t="s">
        <v>30</v>
      </c>
      <c r="C213" t="str">
        <f t="shared" si="6"/>
        <v>Married</v>
      </c>
      <c r="D213" t="s">
        <v>29</v>
      </c>
      <c r="E213" t="str">
        <f t="shared" si="7"/>
        <v>Female</v>
      </c>
      <c r="F213" s="2">
        <v>50000</v>
      </c>
      <c r="G213">
        <v>0</v>
      </c>
      <c r="H213" t="s">
        <v>27</v>
      </c>
      <c r="I213" t="s">
        <v>12</v>
      </c>
      <c r="J213" t="s">
        <v>13</v>
      </c>
      <c r="K213">
        <v>0</v>
      </c>
      <c r="L213" t="s">
        <v>35</v>
      </c>
      <c r="M213" t="s">
        <v>14</v>
      </c>
      <c r="N213" s="2">
        <v>36</v>
      </c>
      <c r="O213" t="str" cm="1">
        <f t="array" ref="O213">_xlfn.IFS(
  AND(BikePurchase[[#This Row],[Age]]&gt;=18, BikePurchase[[#This Row],[Age]]&lt;=30), "Adolescent",
  AND(BikePurchase[[#This Row],[Age]]&gt;30, BikePurchase[[#This Row],[Age]]&lt;55), "Middle Aged",
  AND(BikePurchase[[#This Row],[Age]]&gt;=55, BikePurchase[[#This Row],[Age]]&lt;90), "Old",
  TRUE, "Invalid"
)</f>
        <v>Middle Aged</v>
      </c>
      <c r="P213" t="s">
        <v>13</v>
      </c>
      <c r="Q213" t="str">
        <f>IF(BikePurchase[[#This Row],[Purchased BikeX]]="No","Not Purchased","Purchased")</f>
        <v>Purchased</v>
      </c>
    </row>
    <row r="214" spans="1:17" x14ac:dyDescent="0.3">
      <c r="A214">
        <v>20946</v>
      </c>
      <c r="B214" t="s">
        <v>31</v>
      </c>
      <c r="C214" t="str">
        <f t="shared" si="6"/>
        <v>Single</v>
      </c>
      <c r="D214" t="s">
        <v>29</v>
      </c>
      <c r="E214" t="str">
        <f t="shared" si="7"/>
        <v>Female</v>
      </c>
      <c r="F214" s="2">
        <v>30000</v>
      </c>
      <c r="G214">
        <v>0</v>
      </c>
      <c r="H214" t="s">
        <v>16</v>
      </c>
      <c r="I214" t="s">
        <v>17</v>
      </c>
      <c r="J214" t="s">
        <v>15</v>
      </c>
      <c r="K214">
        <v>1</v>
      </c>
      <c r="L214" t="s">
        <v>19</v>
      </c>
      <c r="M214" t="s">
        <v>14</v>
      </c>
      <c r="N214" s="2">
        <v>30</v>
      </c>
      <c r="O214" t="str" cm="1">
        <f t="array" ref="O214">_xlfn.IFS(
  AND(BikePurchase[[#This Row],[Age]]&gt;=18, BikePurchase[[#This Row],[Age]]&lt;=30), "Adolescent",
  AND(BikePurchase[[#This Row],[Age]]&gt;30, BikePurchase[[#This Row],[Age]]&lt;55), "Middle Aged",
  AND(BikePurchase[[#This Row],[Age]]&gt;=55, BikePurchase[[#This Row],[Age]]&lt;90), "Old",
  TRUE, "Invalid"
)</f>
        <v>Adolescent</v>
      </c>
      <c r="P214" t="s">
        <v>15</v>
      </c>
      <c r="Q214" t="str">
        <f>IF(BikePurchase[[#This Row],[Purchased BikeX]]="No","Not Purchased","Purchased")</f>
        <v>Not Purchased</v>
      </c>
    </row>
    <row r="215" spans="1:17" x14ac:dyDescent="0.3">
      <c r="A215">
        <v>11451</v>
      </c>
      <c r="B215" t="s">
        <v>31</v>
      </c>
      <c r="C215" t="str">
        <f t="shared" si="6"/>
        <v>Single</v>
      </c>
      <c r="D215" t="s">
        <v>30</v>
      </c>
      <c r="E215" t="str">
        <f t="shared" si="7"/>
        <v>Male</v>
      </c>
      <c r="F215" s="2">
        <v>70000</v>
      </c>
      <c r="G215">
        <v>0</v>
      </c>
      <c r="H215" t="s">
        <v>11</v>
      </c>
      <c r="I215" t="s">
        <v>18</v>
      </c>
      <c r="J215" t="s">
        <v>15</v>
      </c>
      <c r="K215">
        <v>4</v>
      </c>
      <c r="L215" t="s">
        <v>48</v>
      </c>
      <c r="M215" t="s">
        <v>21</v>
      </c>
      <c r="N215" s="2">
        <v>31</v>
      </c>
      <c r="O215" t="str" cm="1">
        <f t="array" ref="O215">_xlfn.IFS(
  AND(BikePurchase[[#This Row],[Age]]&gt;=18, BikePurchase[[#This Row],[Age]]&lt;=30), "Adolescent",
  AND(BikePurchase[[#This Row],[Age]]&gt;30, BikePurchase[[#This Row],[Age]]&lt;55), "Middle Aged",
  AND(BikePurchase[[#This Row],[Age]]&gt;=55, BikePurchase[[#This Row],[Age]]&lt;90), "Old",
  TRUE, "Invalid"
)</f>
        <v>Middle Aged</v>
      </c>
      <c r="P215" t="s">
        <v>13</v>
      </c>
      <c r="Q215" t="str">
        <f>IF(BikePurchase[[#This Row],[Purchased BikeX]]="No","Not Purchased","Purchased")</f>
        <v>Purchased</v>
      </c>
    </row>
    <row r="216" spans="1:17" x14ac:dyDescent="0.3">
      <c r="A216">
        <v>25553</v>
      </c>
      <c r="B216" t="s">
        <v>30</v>
      </c>
      <c r="C216" t="str">
        <f t="shared" si="6"/>
        <v>Married</v>
      </c>
      <c r="D216" t="s">
        <v>30</v>
      </c>
      <c r="E216" t="str">
        <f t="shared" si="7"/>
        <v>Male</v>
      </c>
      <c r="F216" s="2">
        <v>30000</v>
      </c>
      <c r="G216">
        <v>1</v>
      </c>
      <c r="H216" t="s">
        <v>11</v>
      </c>
      <c r="I216" t="s">
        <v>17</v>
      </c>
      <c r="J216" t="s">
        <v>13</v>
      </c>
      <c r="K216">
        <v>0</v>
      </c>
      <c r="L216" t="s">
        <v>35</v>
      </c>
      <c r="M216" t="s">
        <v>14</v>
      </c>
      <c r="N216" s="2">
        <v>65</v>
      </c>
      <c r="O216" t="str" cm="1">
        <f t="array" ref="O216">_xlfn.IFS(
  AND(BikePurchase[[#This Row],[Age]]&gt;=18, BikePurchase[[#This Row],[Age]]&lt;=30), "Adolescent",
  AND(BikePurchase[[#This Row],[Age]]&gt;30, BikePurchase[[#This Row],[Age]]&lt;55), "Middle Aged",
  AND(BikePurchase[[#This Row],[Age]]&gt;=55, BikePurchase[[#This Row],[Age]]&lt;90), "Old",
  TRUE, "Invalid"
)</f>
        <v>Old</v>
      </c>
      <c r="P216" t="s">
        <v>13</v>
      </c>
      <c r="Q216" t="str">
        <f>IF(BikePurchase[[#This Row],[Purchased BikeX]]="No","Not Purchased","Purchased")</f>
        <v>Purchased</v>
      </c>
    </row>
    <row r="217" spans="1:17" x14ac:dyDescent="0.3">
      <c r="A217">
        <v>27951</v>
      </c>
      <c r="B217" t="s">
        <v>31</v>
      </c>
      <c r="C217" t="str">
        <f t="shared" si="6"/>
        <v>Single</v>
      </c>
      <c r="D217" t="s">
        <v>30</v>
      </c>
      <c r="E217" t="str">
        <f t="shared" si="7"/>
        <v>Male</v>
      </c>
      <c r="F217" s="2">
        <v>80000</v>
      </c>
      <c r="G217">
        <v>4</v>
      </c>
      <c r="H217" t="s">
        <v>16</v>
      </c>
      <c r="I217" t="s">
        <v>18</v>
      </c>
      <c r="J217" t="s">
        <v>15</v>
      </c>
      <c r="K217">
        <v>2</v>
      </c>
      <c r="L217" t="s">
        <v>19</v>
      </c>
      <c r="M217" t="s">
        <v>14</v>
      </c>
      <c r="N217" s="2">
        <v>54</v>
      </c>
      <c r="O217" t="str" cm="1">
        <f t="array" ref="O217">_xlfn.IFS(
  AND(BikePurchase[[#This Row],[Age]]&gt;=18, BikePurchase[[#This Row],[Age]]&lt;=30), "Adolescent",
  AND(BikePurchase[[#This Row],[Age]]&gt;30, BikePurchase[[#This Row],[Age]]&lt;55), "Middle Aged",
  AND(BikePurchase[[#This Row],[Age]]&gt;=55, BikePurchase[[#This Row],[Age]]&lt;90), "Old",
  TRUE, "Invalid"
)</f>
        <v>Middle Aged</v>
      </c>
      <c r="P217" t="s">
        <v>13</v>
      </c>
      <c r="Q217" t="str">
        <f>IF(BikePurchase[[#This Row],[Purchased BikeX]]="No","Not Purchased","Purchased")</f>
        <v>Purchased</v>
      </c>
    </row>
    <row r="218" spans="1:17" x14ac:dyDescent="0.3">
      <c r="A218">
        <v>25026</v>
      </c>
      <c r="B218" t="s">
        <v>30</v>
      </c>
      <c r="C218" t="str">
        <f t="shared" si="6"/>
        <v>Married</v>
      </c>
      <c r="D218" t="s">
        <v>30</v>
      </c>
      <c r="E218" t="str">
        <f t="shared" si="7"/>
        <v>Male</v>
      </c>
      <c r="F218" s="2">
        <v>20000</v>
      </c>
      <c r="G218">
        <v>2</v>
      </c>
      <c r="H218" t="s">
        <v>26</v>
      </c>
      <c r="I218" t="s">
        <v>17</v>
      </c>
      <c r="J218" t="s">
        <v>13</v>
      </c>
      <c r="K218">
        <v>3</v>
      </c>
      <c r="L218" t="s">
        <v>20</v>
      </c>
      <c r="M218" t="s">
        <v>21</v>
      </c>
      <c r="N218" s="2">
        <v>54</v>
      </c>
      <c r="O218" t="str" cm="1">
        <f t="array" ref="O218">_xlfn.IFS(
  AND(BikePurchase[[#This Row],[Age]]&gt;=18, BikePurchase[[#This Row],[Age]]&lt;=30), "Adolescent",
  AND(BikePurchase[[#This Row],[Age]]&gt;30, BikePurchase[[#This Row],[Age]]&lt;55), "Middle Aged",
  AND(BikePurchase[[#This Row],[Age]]&gt;=55, BikePurchase[[#This Row],[Age]]&lt;90), "Old",
  TRUE, "Invalid"
)</f>
        <v>Middle Aged</v>
      </c>
      <c r="P218" t="s">
        <v>15</v>
      </c>
      <c r="Q218" t="str">
        <f>IF(BikePurchase[[#This Row],[Purchased BikeX]]="No","Not Purchased","Purchased")</f>
        <v>Not Purchased</v>
      </c>
    </row>
    <row r="219" spans="1:17" x14ac:dyDescent="0.3">
      <c r="A219">
        <v>13673</v>
      </c>
      <c r="B219" t="s">
        <v>31</v>
      </c>
      <c r="C219" t="str">
        <f t="shared" si="6"/>
        <v>Single</v>
      </c>
      <c r="D219" t="s">
        <v>29</v>
      </c>
      <c r="E219" t="str">
        <f t="shared" si="7"/>
        <v>Female</v>
      </c>
      <c r="F219" s="2">
        <v>20000</v>
      </c>
      <c r="G219">
        <v>0</v>
      </c>
      <c r="H219" t="s">
        <v>26</v>
      </c>
      <c r="I219" t="s">
        <v>22</v>
      </c>
      <c r="J219" t="s">
        <v>15</v>
      </c>
      <c r="K219">
        <v>2</v>
      </c>
      <c r="L219" t="s">
        <v>35</v>
      </c>
      <c r="M219" t="s">
        <v>14</v>
      </c>
      <c r="N219" s="2">
        <v>25</v>
      </c>
      <c r="O219" t="str" cm="1">
        <f t="array" ref="O219">_xlfn.IFS(
  AND(BikePurchase[[#This Row],[Age]]&gt;=18, BikePurchase[[#This Row],[Age]]&lt;=30), "Adolescent",
  AND(BikePurchase[[#This Row],[Age]]&gt;30, BikePurchase[[#This Row],[Age]]&lt;55), "Middle Aged",
  AND(BikePurchase[[#This Row],[Age]]&gt;=55, BikePurchase[[#This Row],[Age]]&lt;90), "Old",
  TRUE, "Invalid"
)</f>
        <v>Adolescent</v>
      </c>
      <c r="P219" t="s">
        <v>15</v>
      </c>
      <c r="Q219" t="str">
        <f>IF(BikePurchase[[#This Row],[Purchased BikeX]]="No","Not Purchased","Purchased")</f>
        <v>Not Purchased</v>
      </c>
    </row>
    <row r="220" spans="1:17" x14ac:dyDescent="0.3">
      <c r="A220">
        <v>16043</v>
      </c>
      <c r="B220" t="s">
        <v>31</v>
      </c>
      <c r="C220" t="str">
        <f t="shared" si="6"/>
        <v>Single</v>
      </c>
      <c r="D220" t="s">
        <v>30</v>
      </c>
      <c r="E220" t="str">
        <f t="shared" si="7"/>
        <v>Male</v>
      </c>
      <c r="F220" s="2">
        <v>10000</v>
      </c>
      <c r="G220">
        <v>1</v>
      </c>
      <c r="H220" t="s">
        <v>11</v>
      </c>
      <c r="I220" t="s">
        <v>22</v>
      </c>
      <c r="J220" t="s">
        <v>13</v>
      </c>
      <c r="K220">
        <v>0</v>
      </c>
      <c r="L220" t="s">
        <v>35</v>
      </c>
      <c r="M220" t="s">
        <v>14</v>
      </c>
      <c r="N220" s="2">
        <v>48</v>
      </c>
      <c r="O220" t="str" cm="1">
        <f t="array" ref="O220">_xlfn.IFS(
  AND(BikePurchase[[#This Row],[Age]]&gt;=18, BikePurchase[[#This Row],[Age]]&lt;=30), "Adolescent",
  AND(BikePurchase[[#This Row],[Age]]&gt;30, BikePurchase[[#This Row],[Age]]&lt;55), "Middle Aged",
  AND(BikePurchase[[#This Row],[Age]]&gt;=55, BikePurchase[[#This Row],[Age]]&lt;90), "Old",
  TRUE, "Invalid"
)</f>
        <v>Middle Aged</v>
      </c>
      <c r="P220" t="s">
        <v>15</v>
      </c>
      <c r="Q220" t="str">
        <f>IF(BikePurchase[[#This Row],[Purchased BikeX]]="No","Not Purchased","Purchased")</f>
        <v>Not Purchased</v>
      </c>
    </row>
    <row r="221" spans="1:17" x14ac:dyDescent="0.3">
      <c r="A221">
        <v>22399</v>
      </c>
      <c r="B221" t="s">
        <v>31</v>
      </c>
      <c r="C221" t="str">
        <f t="shared" si="6"/>
        <v>Single</v>
      </c>
      <c r="D221" t="s">
        <v>30</v>
      </c>
      <c r="E221" t="str">
        <f t="shared" si="7"/>
        <v>Male</v>
      </c>
      <c r="F221" s="2">
        <v>10000</v>
      </c>
      <c r="G221">
        <v>0</v>
      </c>
      <c r="H221" t="s">
        <v>16</v>
      </c>
      <c r="I221" t="s">
        <v>22</v>
      </c>
      <c r="J221" t="s">
        <v>13</v>
      </c>
      <c r="K221">
        <v>1</v>
      </c>
      <c r="L221" t="s">
        <v>23</v>
      </c>
      <c r="M221" t="s">
        <v>21</v>
      </c>
      <c r="N221" s="2">
        <v>26</v>
      </c>
      <c r="O221" t="str" cm="1">
        <f t="array" ref="O221">_xlfn.IFS(
  AND(BikePurchase[[#This Row],[Age]]&gt;=18, BikePurchase[[#This Row],[Age]]&lt;=30), "Adolescent",
  AND(BikePurchase[[#This Row],[Age]]&gt;30, BikePurchase[[#This Row],[Age]]&lt;55), "Middle Aged",
  AND(BikePurchase[[#This Row],[Age]]&gt;=55, BikePurchase[[#This Row],[Age]]&lt;90), "Old",
  TRUE, "Invalid"
)</f>
        <v>Adolescent</v>
      </c>
      <c r="P221" t="s">
        <v>13</v>
      </c>
      <c r="Q221" t="str">
        <f>IF(BikePurchase[[#This Row],[Purchased BikeX]]="No","Not Purchased","Purchased")</f>
        <v>Purchased</v>
      </c>
    </row>
    <row r="222" spans="1:17" x14ac:dyDescent="0.3">
      <c r="A222">
        <v>27696</v>
      </c>
      <c r="B222" t="s">
        <v>30</v>
      </c>
      <c r="C222" t="str">
        <f t="shared" si="6"/>
        <v>Married</v>
      </c>
      <c r="D222" t="s">
        <v>30</v>
      </c>
      <c r="E222" t="str">
        <f t="shared" si="7"/>
        <v>Male</v>
      </c>
      <c r="F222" s="2">
        <v>60000</v>
      </c>
      <c r="G222">
        <v>1</v>
      </c>
      <c r="H222" t="s">
        <v>11</v>
      </c>
      <c r="I222" t="s">
        <v>18</v>
      </c>
      <c r="J222" t="s">
        <v>13</v>
      </c>
      <c r="K222">
        <v>1</v>
      </c>
      <c r="L222" t="s">
        <v>20</v>
      </c>
      <c r="M222" t="s">
        <v>21</v>
      </c>
      <c r="N222" s="2">
        <v>43</v>
      </c>
      <c r="O222" t="str" cm="1">
        <f t="array" ref="O222">_xlfn.IFS(
  AND(BikePurchase[[#This Row],[Age]]&gt;=18, BikePurchase[[#This Row],[Age]]&lt;=30), "Adolescent",
  AND(BikePurchase[[#This Row],[Age]]&gt;30, BikePurchase[[#This Row],[Age]]&lt;55), "Middle Aged",
  AND(BikePurchase[[#This Row],[Age]]&gt;=55, BikePurchase[[#This Row],[Age]]&lt;90), "Old",
  TRUE, "Invalid"
)</f>
        <v>Middle Aged</v>
      </c>
      <c r="P222" t="s">
        <v>13</v>
      </c>
      <c r="Q222" t="str">
        <f>IF(BikePurchase[[#This Row],[Purchased BikeX]]="No","Not Purchased","Purchased")</f>
        <v>Purchased</v>
      </c>
    </row>
    <row r="223" spans="1:17" x14ac:dyDescent="0.3">
      <c r="A223">
        <v>25313</v>
      </c>
      <c r="B223" t="s">
        <v>31</v>
      </c>
      <c r="C223" t="str">
        <f t="shared" si="6"/>
        <v>Single</v>
      </c>
      <c r="D223" t="s">
        <v>30</v>
      </c>
      <c r="E223" t="str">
        <f t="shared" si="7"/>
        <v>Male</v>
      </c>
      <c r="F223" s="2">
        <v>10000</v>
      </c>
      <c r="G223">
        <v>0</v>
      </c>
      <c r="H223" t="s">
        <v>26</v>
      </c>
      <c r="I223" t="s">
        <v>22</v>
      </c>
      <c r="J223" t="s">
        <v>15</v>
      </c>
      <c r="K223">
        <v>2</v>
      </c>
      <c r="L223" t="s">
        <v>23</v>
      </c>
      <c r="M223" t="s">
        <v>14</v>
      </c>
      <c r="N223" s="2">
        <v>35</v>
      </c>
      <c r="O223" t="str" cm="1">
        <f t="array" ref="O223">_xlfn.IFS(
  AND(BikePurchase[[#This Row],[Age]]&gt;=18, BikePurchase[[#This Row],[Age]]&lt;=30), "Adolescent",
  AND(BikePurchase[[#This Row],[Age]]&gt;30, BikePurchase[[#This Row],[Age]]&lt;55), "Middle Aged",
  AND(BikePurchase[[#This Row],[Age]]&gt;=55, BikePurchase[[#This Row],[Age]]&lt;90), "Old",
  TRUE, "Invalid"
)</f>
        <v>Middle Aged</v>
      </c>
      <c r="P223" t="s">
        <v>15</v>
      </c>
      <c r="Q223" t="str">
        <f>IF(BikePurchase[[#This Row],[Purchased BikeX]]="No","Not Purchased","Purchased")</f>
        <v>Not Purchased</v>
      </c>
    </row>
    <row r="224" spans="1:17" x14ac:dyDescent="0.3">
      <c r="A224">
        <v>13813</v>
      </c>
      <c r="B224" t="s">
        <v>30</v>
      </c>
      <c r="C224" t="str">
        <f t="shared" si="6"/>
        <v>Married</v>
      </c>
      <c r="D224" t="s">
        <v>29</v>
      </c>
      <c r="E224" t="str">
        <f t="shared" si="7"/>
        <v>Female</v>
      </c>
      <c r="F224" s="2">
        <v>30000</v>
      </c>
      <c r="G224">
        <v>3</v>
      </c>
      <c r="H224" t="s">
        <v>16</v>
      </c>
      <c r="I224" t="s">
        <v>17</v>
      </c>
      <c r="J224" t="s">
        <v>15</v>
      </c>
      <c r="K224">
        <v>0</v>
      </c>
      <c r="L224" t="s">
        <v>35</v>
      </c>
      <c r="M224" t="s">
        <v>14</v>
      </c>
      <c r="N224" s="2">
        <v>42</v>
      </c>
      <c r="O224" t="str" cm="1">
        <f t="array" ref="O224">_xlfn.IFS(
  AND(BikePurchase[[#This Row],[Age]]&gt;=18, BikePurchase[[#This Row],[Age]]&lt;=30), "Adolescent",
  AND(BikePurchase[[#This Row],[Age]]&gt;30, BikePurchase[[#This Row],[Age]]&lt;55), "Middle Aged",
  AND(BikePurchase[[#This Row],[Age]]&gt;=55, BikePurchase[[#This Row],[Age]]&lt;90), "Old",
  TRUE, "Invalid"
)</f>
        <v>Middle Aged</v>
      </c>
      <c r="P224" t="s">
        <v>15</v>
      </c>
      <c r="Q224" t="str">
        <f>IF(BikePurchase[[#This Row],[Purchased BikeX]]="No","Not Purchased","Purchased")</f>
        <v>Not Purchased</v>
      </c>
    </row>
    <row r="225" spans="1:17" x14ac:dyDescent="0.3">
      <c r="A225">
        <v>18711</v>
      </c>
      <c r="B225" t="s">
        <v>31</v>
      </c>
      <c r="C225" t="str">
        <f t="shared" si="6"/>
        <v>Single</v>
      </c>
      <c r="D225" t="s">
        <v>29</v>
      </c>
      <c r="E225" t="str">
        <f t="shared" si="7"/>
        <v>Female</v>
      </c>
      <c r="F225" s="2">
        <v>70000</v>
      </c>
      <c r="G225">
        <v>5</v>
      </c>
      <c r="H225" t="s">
        <v>11</v>
      </c>
      <c r="I225" t="s">
        <v>18</v>
      </c>
      <c r="J225" t="s">
        <v>13</v>
      </c>
      <c r="K225">
        <v>4</v>
      </c>
      <c r="L225" t="s">
        <v>48</v>
      </c>
      <c r="M225" t="s">
        <v>21</v>
      </c>
      <c r="N225" s="2">
        <v>39</v>
      </c>
      <c r="O225" t="str" cm="1">
        <f t="array" ref="O225">_xlfn.IFS(
  AND(BikePurchase[[#This Row],[Age]]&gt;=18, BikePurchase[[#This Row],[Age]]&lt;=30), "Adolescent",
  AND(BikePurchase[[#This Row],[Age]]&gt;30, BikePurchase[[#This Row],[Age]]&lt;55), "Middle Aged",
  AND(BikePurchase[[#This Row],[Age]]&gt;=55, BikePurchase[[#This Row],[Age]]&lt;90), "Old",
  TRUE, "Invalid"
)</f>
        <v>Middle Aged</v>
      </c>
      <c r="P225" t="s">
        <v>15</v>
      </c>
      <c r="Q225" t="str">
        <f>IF(BikePurchase[[#This Row],[Purchased BikeX]]="No","Not Purchased","Purchased")</f>
        <v>Not Purchased</v>
      </c>
    </row>
    <row r="226" spans="1:17" x14ac:dyDescent="0.3">
      <c r="A226">
        <v>19650</v>
      </c>
      <c r="B226" t="s">
        <v>30</v>
      </c>
      <c r="C226" t="str">
        <f t="shared" si="6"/>
        <v>Married</v>
      </c>
      <c r="D226" t="s">
        <v>29</v>
      </c>
      <c r="E226" t="str">
        <f t="shared" si="7"/>
        <v>Female</v>
      </c>
      <c r="F226" s="2">
        <v>30000</v>
      </c>
      <c r="G226">
        <v>2</v>
      </c>
      <c r="H226" t="s">
        <v>16</v>
      </c>
      <c r="I226" t="s">
        <v>17</v>
      </c>
      <c r="J226" t="s">
        <v>15</v>
      </c>
      <c r="K226">
        <v>2</v>
      </c>
      <c r="L226" t="s">
        <v>35</v>
      </c>
      <c r="M226" t="s">
        <v>21</v>
      </c>
      <c r="N226" s="2">
        <v>67</v>
      </c>
      <c r="O226" t="str" cm="1">
        <f t="array" ref="O226">_xlfn.IFS(
  AND(BikePurchase[[#This Row],[Age]]&gt;=18, BikePurchase[[#This Row],[Age]]&lt;=30), "Adolescent",
  AND(BikePurchase[[#This Row],[Age]]&gt;30, BikePurchase[[#This Row],[Age]]&lt;55), "Middle Aged",
  AND(BikePurchase[[#This Row],[Age]]&gt;=55, BikePurchase[[#This Row],[Age]]&lt;90), "Old",
  TRUE, "Invalid"
)</f>
        <v>Old</v>
      </c>
      <c r="P226" t="s">
        <v>15</v>
      </c>
      <c r="Q226" t="str">
        <f>IF(BikePurchase[[#This Row],[Purchased BikeX]]="No","Not Purchased","Purchased")</f>
        <v>Not Purchased</v>
      </c>
    </row>
    <row r="227" spans="1:17" x14ac:dyDescent="0.3">
      <c r="A227">
        <v>14135</v>
      </c>
      <c r="B227" t="s">
        <v>30</v>
      </c>
      <c r="C227" t="str">
        <f t="shared" si="6"/>
        <v>Married</v>
      </c>
      <c r="D227" t="s">
        <v>30</v>
      </c>
      <c r="E227" t="str">
        <f t="shared" si="7"/>
        <v>Male</v>
      </c>
      <c r="F227" s="2">
        <v>20000</v>
      </c>
      <c r="G227">
        <v>1</v>
      </c>
      <c r="H227" t="s">
        <v>16</v>
      </c>
      <c r="I227" t="s">
        <v>22</v>
      </c>
      <c r="J227" t="s">
        <v>13</v>
      </c>
      <c r="K227">
        <v>0</v>
      </c>
      <c r="L227" t="s">
        <v>23</v>
      </c>
      <c r="M227" t="s">
        <v>14</v>
      </c>
      <c r="N227" s="2">
        <v>35</v>
      </c>
      <c r="O227" t="str" cm="1">
        <f t="array" ref="O227">_xlfn.IFS(
  AND(BikePurchase[[#This Row],[Age]]&gt;=18, BikePurchase[[#This Row],[Age]]&lt;=30), "Adolescent",
  AND(BikePurchase[[#This Row],[Age]]&gt;30, BikePurchase[[#This Row],[Age]]&lt;55), "Middle Aged",
  AND(BikePurchase[[#This Row],[Age]]&gt;=55, BikePurchase[[#This Row],[Age]]&lt;90), "Old",
  TRUE, "Invalid"
)</f>
        <v>Middle Aged</v>
      </c>
      <c r="P227" t="s">
        <v>15</v>
      </c>
      <c r="Q227" t="str">
        <f>IF(BikePurchase[[#This Row],[Purchased BikeX]]="No","Not Purchased","Purchased")</f>
        <v>Not Purchased</v>
      </c>
    </row>
    <row r="228" spans="1:17" x14ac:dyDescent="0.3">
      <c r="A228">
        <v>12833</v>
      </c>
      <c r="B228" t="s">
        <v>31</v>
      </c>
      <c r="C228" t="str">
        <f t="shared" si="6"/>
        <v>Single</v>
      </c>
      <c r="D228" t="s">
        <v>29</v>
      </c>
      <c r="E228" t="str">
        <f t="shared" si="7"/>
        <v>Female</v>
      </c>
      <c r="F228" s="2">
        <v>20000</v>
      </c>
      <c r="G228">
        <v>3</v>
      </c>
      <c r="H228" t="s">
        <v>24</v>
      </c>
      <c r="I228" t="s">
        <v>22</v>
      </c>
      <c r="J228" t="s">
        <v>13</v>
      </c>
      <c r="K228">
        <v>1</v>
      </c>
      <c r="L228" t="s">
        <v>35</v>
      </c>
      <c r="M228" t="s">
        <v>14</v>
      </c>
      <c r="N228" s="2">
        <v>42</v>
      </c>
      <c r="O228" t="str" cm="1">
        <f t="array" ref="O228">_xlfn.IFS(
  AND(BikePurchase[[#This Row],[Age]]&gt;=18, BikePurchase[[#This Row],[Age]]&lt;=30), "Adolescent",
  AND(BikePurchase[[#This Row],[Age]]&gt;30, BikePurchase[[#This Row],[Age]]&lt;55), "Middle Aged",
  AND(BikePurchase[[#This Row],[Age]]&gt;=55, BikePurchase[[#This Row],[Age]]&lt;90), "Old",
  TRUE, "Invalid"
)</f>
        <v>Middle Aged</v>
      </c>
      <c r="P228" t="s">
        <v>13</v>
      </c>
      <c r="Q228" t="str">
        <f>IF(BikePurchase[[#This Row],[Purchased BikeX]]="No","Not Purchased","Purchased")</f>
        <v>Purchased</v>
      </c>
    </row>
    <row r="229" spans="1:17" x14ac:dyDescent="0.3">
      <c r="A229">
        <v>26849</v>
      </c>
      <c r="B229" t="s">
        <v>30</v>
      </c>
      <c r="C229" t="str">
        <f t="shared" si="6"/>
        <v>Married</v>
      </c>
      <c r="D229" t="s">
        <v>30</v>
      </c>
      <c r="E229" t="str">
        <f t="shared" si="7"/>
        <v>Male</v>
      </c>
      <c r="F229" s="2">
        <v>10000</v>
      </c>
      <c r="G229">
        <v>3</v>
      </c>
      <c r="H229" t="s">
        <v>26</v>
      </c>
      <c r="I229" t="s">
        <v>22</v>
      </c>
      <c r="J229" t="s">
        <v>13</v>
      </c>
      <c r="K229">
        <v>2</v>
      </c>
      <c r="L229" t="s">
        <v>35</v>
      </c>
      <c r="M229" t="s">
        <v>14</v>
      </c>
      <c r="N229" s="2">
        <v>43</v>
      </c>
      <c r="O229" t="str" cm="1">
        <f t="array" ref="O229">_xlfn.IFS(
  AND(BikePurchase[[#This Row],[Age]]&gt;=18, BikePurchase[[#This Row],[Age]]&lt;=30), "Adolescent",
  AND(BikePurchase[[#This Row],[Age]]&gt;30, BikePurchase[[#This Row],[Age]]&lt;55), "Middle Aged",
  AND(BikePurchase[[#This Row],[Age]]&gt;=55, BikePurchase[[#This Row],[Age]]&lt;90), "Old",
  TRUE, "Invalid"
)</f>
        <v>Middle Aged</v>
      </c>
      <c r="P229" t="s">
        <v>15</v>
      </c>
      <c r="Q229" t="str">
        <f>IF(BikePurchase[[#This Row],[Purchased BikeX]]="No","Not Purchased","Purchased")</f>
        <v>Not Purchased</v>
      </c>
    </row>
    <row r="230" spans="1:17" x14ac:dyDescent="0.3">
      <c r="A230">
        <v>20962</v>
      </c>
      <c r="B230" t="s">
        <v>30</v>
      </c>
      <c r="C230" t="str">
        <f t="shared" si="6"/>
        <v>Married</v>
      </c>
      <c r="D230" t="s">
        <v>29</v>
      </c>
      <c r="E230" t="str">
        <f t="shared" si="7"/>
        <v>Female</v>
      </c>
      <c r="F230" s="2">
        <v>20000</v>
      </c>
      <c r="G230">
        <v>1</v>
      </c>
      <c r="H230" t="s">
        <v>27</v>
      </c>
      <c r="I230" t="s">
        <v>17</v>
      </c>
      <c r="J230" t="s">
        <v>13</v>
      </c>
      <c r="K230">
        <v>0</v>
      </c>
      <c r="L230" t="s">
        <v>35</v>
      </c>
      <c r="M230" t="s">
        <v>14</v>
      </c>
      <c r="N230" s="2">
        <v>45</v>
      </c>
      <c r="O230" t="str" cm="1">
        <f t="array" ref="O230">_xlfn.IFS(
  AND(BikePurchase[[#This Row],[Age]]&gt;=18, BikePurchase[[#This Row],[Age]]&lt;=30), "Adolescent",
  AND(BikePurchase[[#This Row],[Age]]&gt;30, BikePurchase[[#This Row],[Age]]&lt;55), "Middle Aged",
  AND(BikePurchase[[#This Row],[Age]]&gt;=55, BikePurchase[[#This Row],[Age]]&lt;90), "Old",
  TRUE, "Invalid"
)</f>
        <v>Middle Aged</v>
      </c>
      <c r="P230" t="s">
        <v>15</v>
      </c>
      <c r="Q230" t="str">
        <f>IF(BikePurchase[[#This Row],[Purchased BikeX]]="No","Not Purchased","Purchased")</f>
        <v>Not Purchased</v>
      </c>
    </row>
    <row r="231" spans="1:17" x14ac:dyDescent="0.3">
      <c r="A231">
        <v>28915</v>
      </c>
      <c r="B231" t="s">
        <v>31</v>
      </c>
      <c r="C231" t="str">
        <f t="shared" si="6"/>
        <v>Single</v>
      </c>
      <c r="D231" t="s">
        <v>30</v>
      </c>
      <c r="E231" t="str">
        <f t="shared" si="7"/>
        <v>Male</v>
      </c>
      <c r="F231" s="2">
        <v>80000</v>
      </c>
      <c r="G231">
        <v>5</v>
      </c>
      <c r="H231" t="s">
        <v>24</v>
      </c>
      <c r="I231" t="s">
        <v>25</v>
      </c>
      <c r="J231" t="s">
        <v>13</v>
      </c>
      <c r="K231">
        <v>3</v>
      </c>
      <c r="L231" t="s">
        <v>48</v>
      </c>
      <c r="M231" t="s">
        <v>14</v>
      </c>
      <c r="N231" s="2">
        <v>57</v>
      </c>
      <c r="O231" t="str" cm="1">
        <f t="array" ref="O231">_xlfn.IFS(
  AND(BikePurchase[[#This Row],[Age]]&gt;=18, BikePurchase[[#This Row],[Age]]&lt;=30), "Adolescent",
  AND(BikePurchase[[#This Row],[Age]]&gt;30, BikePurchase[[#This Row],[Age]]&lt;55), "Middle Aged",
  AND(BikePurchase[[#This Row],[Age]]&gt;=55, BikePurchase[[#This Row],[Age]]&lt;90), "Old",
  TRUE, "Invalid"
)</f>
        <v>Old</v>
      </c>
      <c r="P231" t="s">
        <v>15</v>
      </c>
      <c r="Q231" t="str">
        <f>IF(BikePurchase[[#This Row],[Purchased BikeX]]="No","Not Purchased","Purchased")</f>
        <v>Not Purchased</v>
      </c>
    </row>
    <row r="232" spans="1:17" x14ac:dyDescent="0.3">
      <c r="A232">
        <v>22830</v>
      </c>
      <c r="B232" t="s">
        <v>30</v>
      </c>
      <c r="C232" t="str">
        <f t="shared" si="6"/>
        <v>Married</v>
      </c>
      <c r="D232" t="s">
        <v>30</v>
      </c>
      <c r="E232" t="str">
        <f t="shared" si="7"/>
        <v>Male</v>
      </c>
      <c r="F232" s="2">
        <v>120000</v>
      </c>
      <c r="G232">
        <v>4</v>
      </c>
      <c r="H232" t="s">
        <v>16</v>
      </c>
      <c r="I232" t="s">
        <v>25</v>
      </c>
      <c r="J232" t="s">
        <v>13</v>
      </c>
      <c r="K232">
        <v>3</v>
      </c>
      <c r="L232" t="s">
        <v>48</v>
      </c>
      <c r="M232" t="s">
        <v>14</v>
      </c>
      <c r="N232" s="2">
        <v>56</v>
      </c>
      <c r="O232" t="str" cm="1">
        <f t="array" ref="O232">_xlfn.IFS(
  AND(BikePurchase[[#This Row],[Age]]&gt;=18, BikePurchase[[#This Row],[Age]]&lt;=30), "Adolescent",
  AND(BikePurchase[[#This Row],[Age]]&gt;30, BikePurchase[[#This Row],[Age]]&lt;55), "Middle Aged",
  AND(BikePurchase[[#This Row],[Age]]&gt;=55, BikePurchase[[#This Row],[Age]]&lt;90), "Old",
  TRUE, "Invalid"
)</f>
        <v>Old</v>
      </c>
      <c r="P232" t="s">
        <v>15</v>
      </c>
      <c r="Q232" t="str">
        <f>IF(BikePurchase[[#This Row],[Purchased BikeX]]="No","Not Purchased","Purchased")</f>
        <v>Not Purchased</v>
      </c>
    </row>
    <row r="233" spans="1:17" x14ac:dyDescent="0.3">
      <c r="A233">
        <v>14777</v>
      </c>
      <c r="B233" t="s">
        <v>30</v>
      </c>
      <c r="C233" t="str">
        <f t="shared" si="6"/>
        <v>Married</v>
      </c>
      <c r="D233" t="s">
        <v>29</v>
      </c>
      <c r="E233" t="str">
        <f t="shared" si="7"/>
        <v>Female</v>
      </c>
      <c r="F233" s="2">
        <v>40000</v>
      </c>
      <c r="G233">
        <v>0</v>
      </c>
      <c r="H233" t="s">
        <v>11</v>
      </c>
      <c r="I233" t="s">
        <v>17</v>
      </c>
      <c r="J233" t="s">
        <v>13</v>
      </c>
      <c r="K233">
        <v>0</v>
      </c>
      <c r="L233" t="s">
        <v>35</v>
      </c>
      <c r="M233" t="s">
        <v>14</v>
      </c>
      <c r="N233" s="2">
        <v>38</v>
      </c>
      <c r="O233" t="str" cm="1">
        <f t="array" ref="O233">_xlfn.IFS(
  AND(BikePurchase[[#This Row],[Age]]&gt;=18, BikePurchase[[#This Row],[Age]]&lt;=30), "Adolescent",
  AND(BikePurchase[[#This Row],[Age]]&gt;30, BikePurchase[[#This Row],[Age]]&lt;55), "Middle Aged",
  AND(BikePurchase[[#This Row],[Age]]&gt;=55, BikePurchase[[#This Row],[Age]]&lt;90), "Old",
  TRUE, "Invalid"
)</f>
        <v>Middle Aged</v>
      </c>
      <c r="P233" t="s">
        <v>13</v>
      </c>
      <c r="Q233" t="str">
        <f>IF(BikePurchase[[#This Row],[Purchased BikeX]]="No","Not Purchased","Purchased")</f>
        <v>Purchased</v>
      </c>
    </row>
    <row r="234" spans="1:17" x14ac:dyDescent="0.3">
      <c r="A234">
        <v>12591</v>
      </c>
      <c r="B234" t="s">
        <v>30</v>
      </c>
      <c r="C234" t="str">
        <f t="shared" si="6"/>
        <v>Married</v>
      </c>
      <c r="D234" t="s">
        <v>29</v>
      </c>
      <c r="E234" t="str">
        <f t="shared" si="7"/>
        <v>Female</v>
      </c>
      <c r="F234" s="2">
        <v>30000</v>
      </c>
      <c r="G234">
        <v>4</v>
      </c>
      <c r="H234" t="s">
        <v>27</v>
      </c>
      <c r="I234" t="s">
        <v>17</v>
      </c>
      <c r="J234" t="s">
        <v>13</v>
      </c>
      <c r="K234">
        <v>0</v>
      </c>
      <c r="L234" t="s">
        <v>35</v>
      </c>
      <c r="M234" t="s">
        <v>14</v>
      </c>
      <c r="N234" s="2">
        <v>45</v>
      </c>
      <c r="O234" t="str" cm="1">
        <f t="array" ref="O234">_xlfn.IFS(
  AND(BikePurchase[[#This Row],[Age]]&gt;=18, BikePurchase[[#This Row],[Age]]&lt;=30), "Adolescent",
  AND(BikePurchase[[#This Row],[Age]]&gt;30, BikePurchase[[#This Row],[Age]]&lt;55), "Middle Aged",
  AND(BikePurchase[[#This Row],[Age]]&gt;=55, BikePurchase[[#This Row],[Age]]&lt;90), "Old",
  TRUE, "Invalid"
)</f>
        <v>Middle Aged</v>
      </c>
      <c r="P234" t="s">
        <v>15</v>
      </c>
      <c r="Q234" t="str">
        <f>IF(BikePurchase[[#This Row],[Purchased BikeX]]="No","Not Purchased","Purchased")</f>
        <v>Not Purchased</v>
      </c>
    </row>
    <row r="235" spans="1:17" x14ac:dyDescent="0.3">
      <c r="A235">
        <v>24174</v>
      </c>
      <c r="B235" t="s">
        <v>30</v>
      </c>
      <c r="C235" t="str">
        <f t="shared" si="6"/>
        <v>Married</v>
      </c>
      <c r="D235" t="s">
        <v>30</v>
      </c>
      <c r="E235" t="str">
        <f t="shared" si="7"/>
        <v>Male</v>
      </c>
      <c r="F235" s="2">
        <v>20000</v>
      </c>
      <c r="G235">
        <v>0</v>
      </c>
      <c r="H235" t="s">
        <v>11</v>
      </c>
      <c r="I235" t="s">
        <v>17</v>
      </c>
      <c r="J235" t="s">
        <v>13</v>
      </c>
      <c r="K235">
        <v>0</v>
      </c>
      <c r="L235" t="s">
        <v>35</v>
      </c>
      <c r="M235" t="s">
        <v>21</v>
      </c>
      <c r="N235" s="2">
        <v>27</v>
      </c>
      <c r="O235" t="str" cm="1">
        <f t="array" ref="O235">_xlfn.IFS(
  AND(BikePurchase[[#This Row],[Age]]&gt;=18, BikePurchase[[#This Row],[Age]]&lt;=30), "Adolescent",
  AND(BikePurchase[[#This Row],[Age]]&gt;30, BikePurchase[[#This Row],[Age]]&lt;55), "Middle Aged",
  AND(BikePurchase[[#This Row],[Age]]&gt;=55, BikePurchase[[#This Row],[Age]]&lt;90), "Old",
  TRUE, "Invalid"
)</f>
        <v>Adolescent</v>
      </c>
      <c r="P235" t="s">
        <v>13</v>
      </c>
      <c r="Q235" t="str">
        <f>IF(BikePurchase[[#This Row],[Purchased BikeX]]="No","Not Purchased","Purchased")</f>
        <v>Purchased</v>
      </c>
    </row>
    <row r="236" spans="1:17" x14ac:dyDescent="0.3">
      <c r="A236">
        <v>24611</v>
      </c>
      <c r="B236" t="s">
        <v>31</v>
      </c>
      <c r="C236" t="str">
        <f t="shared" si="6"/>
        <v>Single</v>
      </c>
      <c r="D236" t="s">
        <v>30</v>
      </c>
      <c r="E236" t="str">
        <f t="shared" si="7"/>
        <v>Male</v>
      </c>
      <c r="F236" s="2">
        <v>90000</v>
      </c>
      <c r="G236">
        <v>0</v>
      </c>
      <c r="H236" t="s">
        <v>11</v>
      </c>
      <c r="I236" t="s">
        <v>18</v>
      </c>
      <c r="J236" t="s">
        <v>15</v>
      </c>
      <c r="K236">
        <v>4</v>
      </c>
      <c r="L236" t="s">
        <v>48</v>
      </c>
      <c r="M236" t="s">
        <v>21</v>
      </c>
      <c r="N236" s="2">
        <v>35</v>
      </c>
      <c r="O236" t="str" cm="1">
        <f t="array" ref="O236">_xlfn.IFS(
  AND(BikePurchase[[#This Row],[Age]]&gt;=18, BikePurchase[[#This Row],[Age]]&lt;=30), "Adolescent",
  AND(BikePurchase[[#This Row],[Age]]&gt;30, BikePurchase[[#This Row],[Age]]&lt;55), "Middle Aged",
  AND(BikePurchase[[#This Row],[Age]]&gt;=55, BikePurchase[[#This Row],[Age]]&lt;90), "Old",
  TRUE, "Invalid"
)</f>
        <v>Middle Aged</v>
      </c>
      <c r="P236" t="s">
        <v>13</v>
      </c>
      <c r="Q236" t="str">
        <f>IF(BikePurchase[[#This Row],[Purchased BikeX]]="No","Not Purchased","Purchased")</f>
        <v>Purchased</v>
      </c>
    </row>
    <row r="237" spans="1:17" x14ac:dyDescent="0.3">
      <c r="A237">
        <v>11340</v>
      </c>
      <c r="B237" t="s">
        <v>30</v>
      </c>
      <c r="C237" t="str">
        <f t="shared" si="6"/>
        <v>Married</v>
      </c>
      <c r="D237" t="s">
        <v>29</v>
      </c>
      <c r="E237" t="str">
        <f t="shared" si="7"/>
        <v>Female</v>
      </c>
      <c r="F237" s="2">
        <v>10000</v>
      </c>
      <c r="G237">
        <v>1</v>
      </c>
      <c r="H237" t="s">
        <v>27</v>
      </c>
      <c r="I237" t="s">
        <v>17</v>
      </c>
      <c r="J237" t="s">
        <v>13</v>
      </c>
      <c r="K237">
        <v>0</v>
      </c>
      <c r="L237" t="s">
        <v>35</v>
      </c>
      <c r="M237" t="s">
        <v>14</v>
      </c>
      <c r="N237" s="2">
        <v>70</v>
      </c>
      <c r="O237" t="str" cm="1">
        <f t="array" ref="O237">_xlfn.IFS(
  AND(BikePurchase[[#This Row],[Age]]&gt;=18, BikePurchase[[#This Row],[Age]]&lt;=30), "Adolescent",
  AND(BikePurchase[[#This Row],[Age]]&gt;30, BikePurchase[[#This Row],[Age]]&lt;55), "Middle Aged",
  AND(BikePurchase[[#This Row],[Age]]&gt;=55, BikePurchase[[#This Row],[Age]]&lt;90), "Old",
  TRUE, "Invalid"
)</f>
        <v>Old</v>
      </c>
      <c r="P237" t="s">
        <v>13</v>
      </c>
      <c r="Q237" t="str">
        <f>IF(BikePurchase[[#This Row],[Purchased BikeX]]="No","Not Purchased","Purchased")</f>
        <v>Purchased</v>
      </c>
    </row>
    <row r="238" spans="1:17" x14ac:dyDescent="0.3">
      <c r="A238">
        <v>25693</v>
      </c>
      <c r="B238" t="s">
        <v>31</v>
      </c>
      <c r="C238" t="str">
        <f t="shared" si="6"/>
        <v>Single</v>
      </c>
      <c r="D238" t="s">
        <v>29</v>
      </c>
      <c r="E238" t="str">
        <f t="shared" si="7"/>
        <v>Female</v>
      </c>
      <c r="F238" s="2">
        <v>30000</v>
      </c>
      <c r="G238">
        <v>5</v>
      </c>
      <c r="H238" t="s">
        <v>27</v>
      </c>
      <c r="I238" t="s">
        <v>17</v>
      </c>
      <c r="J238" t="s">
        <v>13</v>
      </c>
      <c r="K238">
        <v>0</v>
      </c>
      <c r="L238" t="s">
        <v>35</v>
      </c>
      <c r="M238" t="s">
        <v>14</v>
      </c>
      <c r="N238" s="2">
        <v>44</v>
      </c>
      <c r="O238" t="str" cm="1">
        <f t="array" ref="O238">_xlfn.IFS(
  AND(BikePurchase[[#This Row],[Age]]&gt;=18, BikePurchase[[#This Row],[Age]]&lt;=30), "Adolescent",
  AND(BikePurchase[[#This Row],[Age]]&gt;30, BikePurchase[[#This Row],[Age]]&lt;55), "Middle Aged",
  AND(BikePurchase[[#This Row],[Age]]&gt;=55, BikePurchase[[#This Row],[Age]]&lt;90), "Old",
  TRUE, "Invalid"
)</f>
        <v>Middle Aged</v>
      </c>
      <c r="P238" t="s">
        <v>13</v>
      </c>
      <c r="Q238" t="str">
        <f>IF(BikePurchase[[#This Row],[Purchased BikeX]]="No","Not Purchased","Purchased")</f>
        <v>Purchased</v>
      </c>
    </row>
    <row r="239" spans="1:17" x14ac:dyDescent="0.3">
      <c r="A239">
        <v>25555</v>
      </c>
      <c r="B239" t="s">
        <v>30</v>
      </c>
      <c r="C239" t="str">
        <f t="shared" si="6"/>
        <v>Married</v>
      </c>
      <c r="D239" t="s">
        <v>29</v>
      </c>
      <c r="E239" t="str">
        <f t="shared" si="7"/>
        <v>Female</v>
      </c>
      <c r="F239" s="2">
        <v>10000</v>
      </c>
      <c r="G239">
        <v>0</v>
      </c>
      <c r="H239" t="s">
        <v>16</v>
      </c>
      <c r="I239" t="s">
        <v>22</v>
      </c>
      <c r="J239" t="s">
        <v>15</v>
      </c>
      <c r="K239">
        <v>1</v>
      </c>
      <c r="L239" t="s">
        <v>35</v>
      </c>
      <c r="M239" t="s">
        <v>21</v>
      </c>
      <c r="N239" s="2">
        <v>26</v>
      </c>
      <c r="O239" t="str" cm="1">
        <f t="array" ref="O239">_xlfn.IFS(
  AND(BikePurchase[[#This Row],[Age]]&gt;=18, BikePurchase[[#This Row],[Age]]&lt;=30), "Adolescent",
  AND(BikePurchase[[#This Row],[Age]]&gt;30, BikePurchase[[#This Row],[Age]]&lt;55), "Middle Aged",
  AND(BikePurchase[[#This Row],[Age]]&gt;=55, BikePurchase[[#This Row],[Age]]&lt;90), "Old",
  TRUE, "Invalid"
)</f>
        <v>Adolescent</v>
      </c>
      <c r="P239" t="s">
        <v>13</v>
      </c>
      <c r="Q239" t="str">
        <f>IF(BikePurchase[[#This Row],[Purchased BikeX]]="No","Not Purchased","Purchased")</f>
        <v>Purchased</v>
      </c>
    </row>
    <row r="240" spans="1:17" x14ac:dyDescent="0.3">
      <c r="A240">
        <v>22006</v>
      </c>
      <c r="B240" t="s">
        <v>30</v>
      </c>
      <c r="C240" t="str">
        <f t="shared" si="6"/>
        <v>Married</v>
      </c>
      <c r="D240" t="s">
        <v>30</v>
      </c>
      <c r="E240" t="str">
        <f t="shared" si="7"/>
        <v>Male</v>
      </c>
      <c r="F240" s="2">
        <v>70000</v>
      </c>
      <c r="G240">
        <v>5</v>
      </c>
      <c r="H240" t="s">
        <v>16</v>
      </c>
      <c r="I240" t="s">
        <v>12</v>
      </c>
      <c r="J240" t="s">
        <v>13</v>
      </c>
      <c r="K240">
        <v>3</v>
      </c>
      <c r="L240" t="s">
        <v>20</v>
      </c>
      <c r="M240" t="s">
        <v>21</v>
      </c>
      <c r="N240" s="2">
        <v>46</v>
      </c>
      <c r="O240" t="str" cm="1">
        <f t="array" ref="O240">_xlfn.IFS(
  AND(BikePurchase[[#This Row],[Age]]&gt;=18, BikePurchase[[#This Row],[Age]]&lt;=30), "Adolescent",
  AND(BikePurchase[[#This Row],[Age]]&gt;30, BikePurchase[[#This Row],[Age]]&lt;55), "Middle Aged",
  AND(BikePurchase[[#This Row],[Age]]&gt;=55, BikePurchase[[#This Row],[Age]]&lt;90), "Old",
  TRUE, "Invalid"
)</f>
        <v>Middle Aged</v>
      </c>
      <c r="P240" t="s">
        <v>15</v>
      </c>
      <c r="Q240" t="str">
        <f>IF(BikePurchase[[#This Row],[Purchased BikeX]]="No","Not Purchased","Purchased")</f>
        <v>Not Purchased</v>
      </c>
    </row>
    <row r="241" spans="1:17" x14ac:dyDescent="0.3">
      <c r="A241">
        <v>20060</v>
      </c>
      <c r="B241" t="s">
        <v>31</v>
      </c>
      <c r="C241" t="str">
        <f t="shared" si="6"/>
        <v>Single</v>
      </c>
      <c r="D241" t="s">
        <v>29</v>
      </c>
      <c r="E241" t="str">
        <f t="shared" si="7"/>
        <v>Female</v>
      </c>
      <c r="F241" s="2">
        <v>30000</v>
      </c>
      <c r="G241">
        <v>0</v>
      </c>
      <c r="H241" t="s">
        <v>24</v>
      </c>
      <c r="I241" t="s">
        <v>22</v>
      </c>
      <c r="J241" t="s">
        <v>15</v>
      </c>
      <c r="K241">
        <v>1</v>
      </c>
      <c r="L241" t="s">
        <v>19</v>
      </c>
      <c r="M241" t="s">
        <v>14</v>
      </c>
      <c r="N241" s="2">
        <v>34</v>
      </c>
      <c r="O241" t="str" cm="1">
        <f t="array" ref="O241">_xlfn.IFS(
  AND(BikePurchase[[#This Row],[Age]]&gt;=18, BikePurchase[[#This Row],[Age]]&lt;=30), "Adolescent",
  AND(BikePurchase[[#This Row],[Age]]&gt;30, BikePurchase[[#This Row],[Age]]&lt;55), "Middle Aged",
  AND(BikePurchase[[#This Row],[Age]]&gt;=55, BikePurchase[[#This Row],[Age]]&lt;90), "Old",
  TRUE, "Invalid"
)</f>
        <v>Middle Aged</v>
      </c>
      <c r="P241" t="s">
        <v>13</v>
      </c>
      <c r="Q241" t="str">
        <f>IF(BikePurchase[[#This Row],[Purchased BikeX]]="No","Not Purchased","Purchased")</f>
        <v>Purchased</v>
      </c>
    </row>
    <row r="242" spans="1:17" x14ac:dyDescent="0.3">
      <c r="A242">
        <v>17702</v>
      </c>
      <c r="B242" t="s">
        <v>30</v>
      </c>
      <c r="C242" t="str">
        <f t="shared" si="6"/>
        <v>Married</v>
      </c>
      <c r="D242" t="s">
        <v>30</v>
      </c>
      <c r="E242" t="str">
        <f t="shared" si="7"/>
        <v>Male</v>
      </c>
      <c r="F242" s="2">
        <v>10000</v>
      </c>
      <c r="G242">
        <v>1</v>
      </c>
      <c r="H242" t="s">
        <v>27</v>
      </c>
      <c r="I242" t="s">
        <v>22</v>
      </c>
      <c r="J242" t="s">
        <v>13</v>
      </c>
      <c r="K242">
        <v>0</v>
      </c>
      <c r="L242" t="s">
        <v>35</v>
      </c>
      <c r="M242" t="s">
        <v>14</v>
      </c>
      <c r="N242" s="2">
        <v>37</v>
      </c>
      <c r="O242" t="str" cm="1">
        <f t="array" ref="O242">_xlfn.IFS(
  AND(BikePurchase[[#This Row],[Age]]&gt;=18, BikePurchase[[#This Row],[Age]]&lt;=30), "Adolescent",
  AND(BikePurchase[[#This Row],[Age]]&gt;30, BikePurchase[[#This Row],[Age]]&lt;55), "Middle Aged",
  AND(BikePurchase[[#This Row],[Age]]&gt;=55, BikePurchase[[#This Row],[Age]]&lt;90), "Old",
  TRUE, "Invalid"
)</f>
        <v>Middle Aged</v>
      </c>
      <c r="P242" t="s">
        <v>15</v>
      </c>
      <c r="Q242" t="str">
        <f>IF(BikePurchase[[#This Row],[Purchased BikeX]]="No","Not Purchased","Purchased")</f>
        <v>Not Purchased</v>
      </c>
    </row>
    <row r="243" spans="1:17" x14ac:dyDescent="0.3">
      <c r="A243">
        <v>12503</v>
      </c>
      <c r="B243" t="s">
        <v>31</v>
      </c>
      <c r="C243" t="str">
        <f t="shared" si="6"/>
        <v>Single</v>
      </c>
      <c r="D243" t="s">
        <v>29</v>
      </c>
      <c r="E243" t="str">
        <f t="shared" si="7"/>
        <v>Female</v>
      </c>
      <c r="F243" s="2">
        <v>30000</v>
      </c>
      <c r="G243">
        <v>3</v>
      </c>
      <c r="H243" t="s">
        <v>16</v>
      </c>
      <c r="I243" t="s">
        <v>17</v>
      </c>
      <c r="J243" t="s">
        <v>13</v>
      </c>
      <c r="K243">
        <v>2</v>
      </c>
      <c r="L243" t="s">
        <v>35</v>
      </c>
      <c r="M243" t="s">
        <v>14</v>
      </c>
      <c r="N243" s="2">
        <v>27</v>
      </c>
      <c r="O243" t="str" cm="1">
        <f t="array" ref="O243">_xlfn.IFS(
  AND(BikePurchase[[#This Row],[Age]]&gt;=18, BikePurchase[[#This Row],[Age]]&lt;=30), "Adolescent",
  AND(BikePurchase[[#This Row],[Age]]&gt;30, BikePurchase[[#This Row],[Age]]&lt;55), "Middle Aged",
  AND(BikePurchase[[#This Row],[Age]]&gt;=55, BikePurchase[[#This Row],[Age]]&lt;90), "Old",
  TRUE, "Invalid"
)</f>
        <v>Adolescent</v>
      </c>
      <c r="P243" t="s">
        <v>15</v>
      </c>
      <c r="Q243" t="str">
        <f>IF(BikePurchase[[#This Row],[Purchased BikeX]]="No","Not Purchased","Purchased")</f>
        <v>Not Purchased</v>
      </c>
    </row>
    <row r="244" spans="1:17" x14ac:dyDescent="0.3">
      <c r="A244">
        <v>23908</v>
      </c>
      <c r="B244" t="s">
        <v>31</v>
      </c>
      <c r="C244" t="str">
        <f t="shared" si="6"/>
        <v>Single</v>
      </c>
      <c r="D244" t="s">
        <v>30</v>
      </c>
      <c r="E244" t="str">
        <f t="shared" si="7"/>
        <v>Male</v>
      </c>
      <c r="F244" s="2">
        <v>30000</v>
      </c>
      <c r="G244">
        <v>1</v>
      </c>
      <c r="H244" t="s">
        <v>11</v>
      </c>
      <c r="I244" t="s">
        <v>17</v>
      </c>
      <c r="J244" t="s">
        <v>15</v>
      </c>
      <c r="K244">
        <v>1</v>
      </c>
      <c r="L244" t="s">
        <v>35</v>
      </c>
      <c r="M244" t="s">
        <v>14</v>
      </c>
      <c r="N244" s="2">
        <v>39</v>
      </c>
      <c r="O244" t="str" cm="1">
        <f t="array" ref="O244">_xlfn.IFS(
  AND(BikePurchase[[#This Row],[Age]]&gt;=18, BikePurchase[[#This Row],[Age]]&lt;=30), "Adolescent",
  AND(BikePurchase[[#This Row],[Age]]&gt;30, BikePurchase[[#This Row],[Age]]&lt;55), "Middle Aged",
  AND(BikePurchase[[#This Row],[Age]]&gt;=55, BikePurchase[[#This Row],[Age]]&lt;90), "Old",
  TRUE, "Invalid"
)</f>
        <v>Middle Aged</v>
      </c>
      <c r="P244" t="s">
        <v>13</v>
      </c>
      <c r="Q244" t="str">
        <f>IF(BikePurchase[[#This Row],[Purchased BikeX]]="No","Not Purchased","Purchased")</f>
        <v>Purchased</v>
      </c>
    </row>
    <row r="245" spans="1:17" x14ac:dyDescent="0.3">
      <c r="A245">
        <v>22527</v>
      </c>
      <c r="B245" t="s">
        <v>31</v>
      </c>
      <c r="C245" t="str">
        <f t="shared" si="6"/>
        <v>Single</v>
      </c>
      <c r="D245" t="s">
        <v>29</v>
      </c>
      <c r="E245" t="str">
        <f t="shared" si="7"/>
        <v>Female</v>
      </c>
      <c r="F245" s="2">
        <v>20000</v>
      </c>
      <c r="G245">
        <v>0</v>
      </c>
      <c r="H245" t="s">
        <v>24</v>
      </c>
      <c r="I245" t="s">
        <v>22</v>
      </c>
      <c r="J245" t="s">
        <v>15</v>
      </c>
      <c r="K245">
        <v>1</v>
      </c>
      <c r="L245" t="s">
        <v>19</v>
      </c>
      <c r="M245" t="s">
        <v>14</v>
      </c>
      <c r="N245" s="2">
        <v>29</v>
      </c>
      <c r="O245" t="str" cm="1">
        <f t="array" ref="O245">_xlfn.IFS(
  AND(BikePurchase[[#This Row],[Age]]&gt;=18, BikePurchase[[#This Row],[Age]]&lt;=30), "Adolescent",
  AND(BikePurchase[[#This Row],[Age]]&gt;30, BikePurchase[[#This Row],[Age]]&lt;55), "Middle Aged",
  AND(BikePurchase[[#This Row],[Age]]&gt;=55, BikePurchase[[#This Row],[Age]]&lt;90), "Old",
  TRUE, "Invalid"
)</f>
        <v>Adolescent</v>
      </c>
      <c r="P245" t="s">
        <v>15</v>
      </c>
      <c r="Q245" t="str">
        <f>IF(BikePurchase[[#This Row],[Purchased BikeX]]="No","Not Purchased","Purchased")</f>
        <v>Not Purchased</v>
      </c>
    </row>
    <row r="246" spans="1:17" x14ac:dyDescent="0.3">
      <c r="A246">
        <v>19057</v>
      </c>
      <c r="B246" t="s">
        <v>30</v>
      </c>
      <c r="C246" t="str">
        <f t="shared" si="6"/>
        <v>Married</v>
      </c>
      <c r="D246" t="s">
        <v>29</v>
      </c>
      <c r="E246" t="str">
        <f t="shared" si="7"/>
        <v>Female</v>
      </c>
      <c r="F246" s="2">
        <v>120000</v>
      </c>
      <c r="G246">
        <v>3</v>
      </c>
      <c r="H246" t="s">
        <v>11</v>
      </c>
      <c r="I246" t="s">
        <v>25</v>
      </c>
      <c r="J246" t="s">
        <v>15</v>
      </c>
      <c r="K246">
        <v>2</v>
      </c>
      <c r="L246" t="s">
        <v>48</v>
      </c>
      <c r="M246" t="s">
        <v>14</v>
      </c>
      <c r="N246" s="2">
        <v>52</v>
      </c>
      <c r="O246" t="str" cm="1">
        <f t="array" ref="O246">_xlfn.IFS(
  AND(BikePurchase[[#This Row],[Age]]&gt;=18, BikePurchase[[#This Row],[Age]]&lt;=30), "Adolescent",
  AND(BikePurchase[[#This Row],[Age]]&gt;30, BikePurchase[[#This Row],[Age]]&lt;55), "Middle Aged",
  AND(BikePurchase[[#This Row],[Age]]&gt;=55, BikePurchase[[#This Row],[Age]]&lt;90), "Old",
  TRUE, "Invalid"
)</f>
        <v>Middle Aged</v>
      </c>
      <c r="P246" t="s">
        <v>13</v>
      </c>
      <c r="Q246" t="str">
        <f>IF(BikePurchase[[#This Row],[Purchased BikeX]]="No","Not Purchased","Purchased")</f>
        <v>Purchased</v>
      </c>
    </row>
    <row r="247" spans="1:17" x14ac:dyDescent="0.3">
      <c r="A247">
        <v>18494</v>
      </c>
      <c r="B247" t="s">
        <v>30</v>
      </c>
      <c r="C247" t="str">
        <f t="shared" si="6"/>
        <v>Married</v>
      </c>
      <c r="D247" t="s">
        <v>30</v>
      </c>
      <c r="E247" t="str">
        <f t="shared" si="7"/>
        <v>Male</v>
      </c>
      <c r="F247" s="2">
        <v>110000</v>
      </c>
      <c r="G247">
        <v>5</v>
      </c>
      <c r="H247" t="s">
        <v>11</v>
      </c>
      <c r="I247" t="s">
        <v>25</v>
      </c>
      <c r="J247" t="s">
        <v>13</v>
      </c>
      <c r="K247">
        <v>4</v>
      </c>
      <c r="L247" t="s">
        <v>19</v>
      </c>
      <c r="M247" t="s">
        <v>21</v>
      </c>
      <c r="N247" s="2">
        <v>48</v>
      </c>
      <c r="O247" t="str" cm="1">
        <f t="array" ref="O247">_xlfn.IFS(
  AND(BikePurchase[[#This Row],[Age]]&gt;=18, BikePurchase[[#This Row],[Age]]&lt;=30), "Adolescent",
  AND(BikePurchase[[#This Row],[Age]]&gt;30, BikePurchase[[#This Row],[Age]]&lt;55), "Middle Aged",
  AND(BikePurchase[[#This Row],[Age]]&gt;=55, BikePurchase[[#This Row],[Age]]&lt;90), "Old",
  TRUE, "Invalid"
)</f>
        <v>Middle Aged</v>
      </c>
      <c r="P247" t="s">
        <v>13</v>
      </c>
      <c r="Q247" t="str">
        <f>IF(BikePurchase[[#This Row],[Purchased BikeX]]="No","Not Purchased","Purchased")</f>
        <v>Purchased</v>
      </c>
    </row>
    <row r="248" spans="1:17" x14ac:dyDescent="0.3">
      <c r="A248">
        <v>11249</v>
      </c>
      <c r="B248" t="s">
        <v>30</v>
      </c>
      <c r="C248" t="str">
        <f t="shared" si="6"/>
        <v>Married</v>
      </c>
      <c r="D248" t="s">
        <v>29</v>
      </c>
      <c r="E248" t="str">
        <f t="shared" si="7"/>
        <v>Female</v>
      </c>
      <c r="F248" s="2">
        <v>130000</v>
      </c>
      <c r="G248">
        <v>3</v>
      </c>
      <c r="H248" t="s">
        <v>16</v>
      </c>
      <c r="I248" t="s">
        <v>18</v>
      </c>
      <c r="J248" t="s">
        <v>13</v>
      </c>
      <c r="K248">
        <v>3</v>
      </c>
      <c r="L248" t="s">
        <v>35</v>
      </c>
      <c r="M248" t="s">
        <v>14</v>
      </c>
      <c r="N248" s="2">
        <v>51</v>
      </c>
      <c r="O248" t="str" cm="1">
        <f t="array" ref="O248">_xlfn.IFS(
  AND(BikePurchase[[#This Row],[Age]]&gt;=18, BikePurchase[[#This Row],[Age]]&lt;=30), "Adolescent",
  AND(BikePurchase[[#This Row],[Age]]&gt;30, BikePurchase[[#This Row],[Age]]&lt;55), "Middle Aged",
  AND(BikePurchase[[#This Row],[Age]]&gt;=55, BikePurchase[[#This Row],[Age]]&lt;90), "Old",
  TRUE, "Invalid"
)</f>
        <v>Middle Aged</v>
      </c>
      <c r="P248" t="s">
        <v>13</v>
      </c>
      <c r="Q248" t="str">
        <f>IF(BikePurchase[[#This Row],[Purchased BikeX]]="No","Not Purchased","Purchased")</f>
        <v>Purchased</v>
      </c>
    </row>
    <row r="249" spans="1:17" x14ac:dyDescent="0.3">
      <c r="A249">
        <v>21568</v>
      </c>
      <c r="B249" t="s">
        <v>30</v>
      </c>
      <c r="C249" t="str">
        <f t="shared" si="6"/>
        <v>Married</v>
      </c>
      <c r="D249" t="s">
        <v>29</v>
      </c>
      <c r="E249" t="str">
        <f t="shared" si="7"/>
        <v>Female</v>
      </c>
      <c r="F249" s="2">
        <v>100000</v>
      </c>
      <c r="G249">
        <v>0</v>
      </c>
      <c r="H249" t="s">
        <v>24</v>
      </c>
      <c r="I249" t="s">
        <v>25</v>
      </c>
      <c r="J249" t="s">
        <v>13</v>
      </c>
      <c r="K249">
        <v>4</v>
      </c>
      <c r="L249" t="s">
        <v>48</v>
      </c>
      <c r="M249" t="s">
        <v>21</v>
      </c>
      <c r="N249" s="2">
        <v>34</v>
      </c>
      <c r="O249" t="str" cm="1">
        <f t="array" ref="O249">_xlfn.IFS(
  AND(BikePurchase[[#This Row],[Age]]&gt;=18, BikePurchase[[#This Row],[Age]]&lt;=30), "Adolescent",
  AND(BikePurchase[[#This Row],[Age]]&gt;30, BikePurchase[[#This Row],[Age]]&lt;55), "Middle Aged",
  AND(BikePurchase[[#This Row],[Age]]&gt;=55, BikePurchase[[#This Row],[Age]]&lt;90), "Old",
  TRUE, "Invalid"
)</f>
        <v>Middle Aged</v>
      </c>
      <c r="P249" t="s">
        <v>13</v>
      </c>
      <c r="Q249" t="str">
        <f>IF(BikePurchase[[#This Row],[Purchased BikeX]]="No","Not Purchased","Purchased")</f>
        <v>Purchased</v>
      </c>
    </row>
    <row r="250" spans="1:17" x14ac:dyDescent="0.3">
      <c r="A250">
        <v>13981</v>
      </c>
      <c r="B250" t="s">
        <v>30</v>
      </c>
      <c r="C250" t="str">
        <f t="shared" si="6"/>
        <v>Married</v>
      </c>
      <c r="D250" t="s">
        <v>29</v>
      </c>
      <c r="E250" t="str">
        <f t="shared" si="7"/>
        <v>Female</v>
      </c>
      <c r="F250" s="2">
        <v>10000</v>
      </c>
      <c r="G250">
        <v>5</v>
      </c>
      <c r="H250" t="s">
        <v>24</v>
      </c>
      <c r="I250" t="s">
        <v>12</v>
      </c>
      <c r="J250" t="s">
        <v>15</v>
      </c>
      <c r="K250">
        <v>3</v>
      </c>
      <c r="L250" t="s">
        <v>23</v>
      </c>
      <c r="M250" t="s">
        <v>21</v>
      </c>
      <c r="N250" s="2">
        <v>62</v>
      </c>
      <c r="O250" t="str" cm="1">
        <f t="array" ref="O250">_xlfn.IFS(
  AND(BikePurchase[[#This Row],[Age]]&gt;=18, BikePurchase[[#This Row],[Age]]&lt;=30), "Adolescent",
  AND(BikePurchase[[#This Row],[Age]]&gt;30, BikePurchase[[#This Row],[Age]]&lt;55), "Middle Aged",
  AND(BikePurchase[[#This Row],[Age]]&gt;=55, BikePurchase[[#This Row],[Age]]&lt;90), "Old",
  TRUE, "Invalid"
)</f>
        <v>Old</v>
      </c>
      <c r="P250" t="s">
        <v>15</v>
      </c>
      <c r="Q250" t="str">
        <f>IF(BikePurchase[[#This Row],[Purchased BikeX]]="No","Not Purchased","Purchased")</f>
        <v>Not Purchased</v>
      </c>
    </row>
    <row r="251" spans="1:17" x14ac:dyDescent="0.3">
      <c r="A251">
        <v>23432</v>
      </c>
      <c r="B251" t="s">
        <v>31</v>
      </c>
      <c r="C251" t="str">
        <f t="shared" si="6"/>
        <v>Single</v>
      </c>
      <c r="D251" t="s">
        <v>30</v>
      </c>
      <c r="E251" t="str">
        <f t="shared" si="7"/>
        <v>Male</v>
      </c>
      <c r="F251" s="2">
        <v>70000</v>
      </c>
      <c r="G251">
        <v>0</v>
      </c>
      <c r="H251" t="s">
        <v>11</v>
      </c>
      <c r="I251" t="s">
        <v>18</v>
      </c>
      <c r="J251" t="s">
        <v>13</v>
      </c>
      <c r="K251">
        <v>1</v>
      </c>
      <c r="L251" t="s">
        <v>20</v>
      </c>
      <c r="M251" t="s">
        <v>21</v>
      </c>
      <c r="N251" s="2">
        <v>37</v>
      </c>
      <c r="O251" t="str" cm="1">
        <f t="array" ref="O251">_xlfn.IFS(
  AND(BikePurchase[[#This Row],[Age]]&gt;=18, BikePurchase[[#This Row],[Age]]&lt;=30), "Adolescent",
  AND(BikePurchase[[#This Row],[Age]]&gt;30, BikePurchase[[#This Row],[Age]]&lt;55), "Middle Aged",
  AND(BikePurchase[[#This Row],[Age]]&gt;=55, BikePurchase[[#This Row],[Age]]&lt;90), "Old",
  TRUE, "Invalid"
)</f>
        <v>Middle Aged</v>
      </c>
      <c r="P251" t="s">
        <v>13</v>
      </c>
      <c r="Q251" t="str">
        <f>IF(BikePurchase[[#This Row],[Purchased BikeX]]="No","Not Purchased","Purchased")</f>
        <v>Purchased</v>
      </c>
    </row>
    <row r="252" spans="1:17" x14ac:dyDescent="0.3">
      <c r="A252">
        <v>22931</v>
      </c>
      <c r="B252" t="s">
        <v>30</v>
      </c>
      <c r="C252" t="str">
        <f t="shared" si="6"/>
        <v>Married</v>
      </c>
      <c r="D252" t="s">
        <v>30</v>
      </c>
      <c r="E252" t="str">
        <f t="shared" si="7"/>
        <v>Male</v>
      </c>
      <c r="F252" s="2">
        <v>100000</v>
      </c>
      <c r="G252">
        <v>5</v>
      </c>
      <c r="H252" t="s">
        <v>27</v>
      </c>
      <c r="I252" t="s">
        <v>25</v>
      </c>
      <c r="J252" t="s">
        <v>15</v>
      </c>
      <c r="K252">
        <v>1</v>
      </c>
      <c r="L252" t="s">
        <v>23</v>
      </c>
      <c r="M252" t="s">
        <v>21</v>
      </c>
      <c r="N252" s="2">
        <v>78</v>
      </c>
      <c r="O252" t="str" cm="1">
        <f t="array" ref="O252">_xlfn.IFS(
  AND(BikePurchase[[#This Row],[Age]]&gt;=18, BikePurchase[[#This Row],[Age]]&lt;=30), "Adolescent",
  AND(BikePurchase[[#This Row],[Age]]&gt;30, BikePurchase[[#This Row],[Age]]&lt;55), "Middle Aged",
  AND(BikePurchase[[#This Row],[Age]]&gt;=55, BikePurchase[[#This Row],[Age]]&lt;90), "Old",
  TRUE, "Invalid"
)</f>
        <v>Old</v>
      </c>
      <c r="P252" t="s">
        <v>13</v>
      </c>
      <c r="Q252" t="str">
        <f>IF(BikePurchase[[#This Row],[Purchased BikeX]]="No","Not Purchased","Purchased")</f>
        <v>Purchased</v>
      </c>
    </row>
    <row r="253" spans="1:17" x14ac:dyDescent="0.3">
      <c r="A253">
        <v>18172</v>
      </c>
      <c r="B253" t="s">
        <v>30</v>
      </c>
      <c r="C253" t="str">
        <f t="shared" si="6"/>
        <v>Married</v>
      </c>
      <c r="D253" t="s">
        <v>30</v>
      </c>
      <c r="E253" t="str">
        <f t="shared" si="7"/>
        <v>Male</v>
      </c>
      <c r="F253" s="2">
        <v>130000</v>
      </c>
      <c r="G253">
        <v>4</v>
      </c>
      <c r="H253" t="s">
        <v>24</v>
      </c>
      <c r="I253" t="s">
        <v>18</v>
      </c>
      <c r="J253" t="s">
        <v>13</v>
      </c>
      <c r="K253">
        <v>3</v>
      </c>
      <c r="L253" t="s">
        <v>35</v>
      </c>
      <c r="M253" t="s">
        <v>14</v>
      </c>
      <c r="N253" s="2">
        <v>55</v>
      </c>
      <c r="O253" t="str" cm="1">
        <f t="array" ref="O253">_xlfn.IFS(
  AND(BikePurchase[[#This Row],[Age]]&gt;=18, BikePurchase[[#This Row],[Age]]&lt;=30), "Adolescent",
  AND(BikePurchase[[#This Row],[Age]]&gt;30, BikePurchase[[#This Row],[Age]]&lt;55), "Middle Aged",
  AND(BikePurchase[[#This Row],[Age]]&gt;=55, BikePurchase[[#This Row],[Age]]&lt;90), "Old",
  TRUE, "Invalid"
)</f>
        <v>Old</v>
      </c>
      <c r="P253" t="s">
        <v>15</v>
      </c>
      <c r="Q253" t="str">
        <f>IF(BikePurchase[[#This Row],[Purchased BikeX]]="No","Not Purchased","Purchased")</f>
        <v>Not Purchased</v>
      </c>
    </row>
    <row r="254" spans="1:17" x14ac:dyDescent="0.3">
      <c r="A254">
        <v>12666</v>
      </c>
      <c r="B254" t="s">
        <v>31</v>
      </c>
      <c r="C254" t="str">
        <f t="shared" si="6"/>
        <v>Single</v>
      </c>
      <c r="D254" t="s">
        <v>30</v>
      </c>
      <c r="E254" t="str">
        <f t="shared" si="7"/>
        <v>Male</v>
      </c>
      <c r="F254" s="2">
        <v>60000</v>
      </c>
      <c r="G254">
        <v>0</v>
      </c>
      <c r="H254" t="s">
        <v>11</v>
      </c>
      <c r="I254" t="s">
        <v>18</v>
      </c>
      <c r="J254" t="s">
        <v>15</v>
      </c>
      <c r="K254">
        <v>4</v>
      </c>
      <c r="L254" t="s">
        <v>19</v>
      </c>
      <c r="M254" t="s">
        <v>21</v>
      </c>
      <c r="N254" s="2">
        <v>31</v>
      </c>
      <c r="O254" t="str" cm="1">
        <f t="array" ref="O254">_xlfn.IFS(
  AND(BikePurchase[[#This Row],[Age]]&gt;=18, BikePurchase[[#This Row],[Age]]&lt;=30), "Adolescent",
  AND(BikePurchase[[#This Row],[Age]]&gt;30, BikePurchase[[#This Row],[Age]]&lt;55), "Middle Aged",
  AND(BikePurchase[[#This Row],[Age]]&gt;=55, BikePurchase[[#This Row],[Age]]&lt;90), "Old",
  TRUE, "Invalid"
)</f>
        <v>Middle Aged</v>
      </c>
      <c r="P254" t="s">
        <v>15</v>
      </c>
      <c r="Q254" t="str">
        <f>IF(BikePurchase[[#This Row],[Purchased BikeX]]="No","Not Purchased","Purchased")</f>
        <v>Not Purchased</v>
      </c>
    </row>
    <row r="255" spans="1:17" x14ac:dyDescent="0.3">
      <c r="A255">
        <v>20598</v>
      </c>
      <c r="B255" t="s">
        <v>30</v>
      </c>
      <c r="C255" t="str">
        <f t="shared" si="6"/>
        <v>Married</v>
      </c>
      <c r="D255" t="s">
        <v>30</v>
      </c>
      <c r="E255" t="str">
        <f t="shared" si="7"/>
        <v>Male</v>
      </c>
      <c r="F255" s="2">
        <v>100000</v>
      </c>
      <c r="G255">
        <v>3</v>
      </c>
      <c r="H255" t="s">
        <v>26</v>
      </c>
      <c r="I255" t="s">
        <v>18</v>
      </c>
      <c r="J255" t="s">
        <v>13</v>
      </c>
      <c r="K255">
        <v>0</v>
      </c>
      <c r="L255" t="s">
        <v>48</v>
      </c>
      <c r="M255" t="s">
        <v>14</v>
      </c>
      <c r="N255" s="2">
        <v>59</v>
      </c>
      <c r="O255" t="str" cm="1">
        <f t="array" ref="O255">_xlfn.IFS(
  AND(BikePurchase[[#This Row],[Age]]&gt;=18, BikePurchase[[#This Row],[Age]]&lt;=30), "Adolescent",
  AND(BikePurchase[[#This Row],[Age]]&gt;30, BikePurchase[[#This Row],[Age]]&lt;55), "Middle Aged",
  AND(BikePurchase[[#This Row],[Age]]&gt;=55, BikePurchase[[#This Row],[Age]]&lt;90), "Old",
  TRUE, "Invalid"
)</f>
        <v>Old</v>
      </c>
      <c r="P255" t="s">
        <v>13</v>
      </c>
      <c r="Q255" t="str">
        <f>IF(BikePurchase[[#This Row],[Purchased BikeX]]="No","Not Purchased","Purchased")</f>
        <v>Purchased</v>
      </c>
    </row>
    <row r="256" spans="1:17" x14ac:dyDescent="0.3">
      <c r="A256">
        <v>21375</v>
      </c>
      <c r="B256" t="s">
        <v>31</v>
      </c>
      <c r="C256" t="str">
        <f t="shared" si="6"/>
        <v>Single</v>
      </c>
      <c r="D256" t="s">
        <v>30</v>
      </c>
      <c r="E256" t="str">
        <f t="shared" si="7"/>
        <v>Male</v>
      </c>
      <c r="F256" s="2">
        <v>20000</v>
      </c>
      <c r="G256">
        <v>2</v>
      </c>
      <c r="H256" t="s">
        <v>26</v>
      </c>
      <c r="I256" t="s">
        <v>17</v>
      </c>
      <c r="J256" t="s">
        <v>13</v>
      </c>
      <c r="K256">
        <v>2</v>
      </c>
      <c r="L256" t="s">
        <v>20</v>
      </c>
      <c r="M256" t="s">
        <v>21</v>
      </c>
      <c r="N256" s="2">
        <v>57</v>
      </c>
      <c r="O256" t="str" cm="1">
        <f t="array" ref="O256">_xlfn.IFS(
  AND(BikePurchase[[#This Row],[Age]]&gt;=18, BikePurchase[[#This Row],[Age]]&lt;=30), "Adolescent",
  AND(BikePurchase[[#This Row],[Age]]&gt;30, BikePurchase[[#This Row],[Age]]&lt;55), "Middle Aged",
  AND(BikePurchase[[#This Row],[Age]]&gt;=55, BikePurchase[[#This Row],[Age]]&lt;90), "Old",
  TRUE, "Invalid"
)</f>
        <v>Old</v>
      </c>
      <c r="P256" t="s">
        <v>15</v>
      </c>
      <c r="Q256" t="str">
        <f>IF(BikePurchase[[#This Row],[Purchased BikeX]]="No","Not Purchased","Purchased")</f>
        <v>Not Purchased</v>
      </c>
    </row>
    <row r="257" spans="1:17" x14ac:dyDescent="0.3">
      <c r="A257">
        <v>20839</v>
      </c>
      <c r="B257" t="s">
        <v>31</v>
      </c>
      <c r="C257" t="str">
        <f t="shared" si="6"/>
        <v>Single</v>
      </c>
      <c r="D257" t="s">
        <v>29</v>
      </c>
      <c r="E257" t="str">
        <f t="shared" si="7"/>
        <v>Female</v>
      </c>
      <c r="F257" s="2">
        <v>30000</v>
      </c>
      <c r="G257">
        <v>3</v>
      </c>
      <c r="H257" t="s">
        <v>27</v>
      </c>
      <c r="I257" t="s">
        <v>17</v>
      </c>
      <c r="J257" t="s">
        <v>13</v>
      </c>
      <c r="K257">
        <v>0</v>
      </c>
      <c r="L257" t="s">
        <v>35</v>
      </c>
      <c r="M257" t="s">
        <v>14</v>
      </c>
      <c r="N257" s="2">
        <v>47</v>
      </c>
      <c r="O257" t="str" cm="1">
        <f t="array" ref="O257">_xlfn.IFS(
  AND(BikePurchase[[#This Row],[Age]]&gt;=18, BikePurchase[[#This Row],[Age]]&lt;=30), "Adolescent",
  AND(BikePurchase[[#This Row],[Age]]&gt;30, BikePurchase[[#This Row],[Age]]&lt;55), "Middle Aged",
  AND(BikePurchase[[#This Row],[Age]]&gt;=55, BikePurchase[[#This Row],[Age]]&lt;90), "Old",
  TRUE, "Invalid"
)</f>
        <v>Middle Aged</v>
      </c>
      <c r="P257" t="s">
        <v>13</v>
      </c>
      <c r="Q257" t="str">
        <f>IF(BikePurchase[[#This Row],[Purchased BikeX]]="No","Not Purchased","Purchased")</f>
        <v>Purchased</v>
      </c>
    </row>
    <row r="258" spans="1:17" x14ac:dyDescent="0.3">
      <c r="A258">
        <v>21738</v>
      </c>
      <c r="B258" t="s">
        <v>30</v>
      </c>
      <c r="C258" t="str">
        <f t="shared" ref="C258:C321" si="8">IF(B258="M","Married","Single")</f>
        <v>Married</v>
      </c>
      <c r="D258" t="s">
        <v>30</v>
      </c>
      <c r="E258" t="str">
        <f t="shared" ref="E258:E321" si="9">IF(D258="F","Female","Male")</f>
        <v>Male</v>
      </c>
      <c r="F258" s="2">
        <v>20000</v>
      </c>
      <c r="G258">
        <v>1</v>
      </c>
      <c r="H258" t="s">
        <v>27</v>
      </c>
      <c r="I258" t="s">
        <v>17</v>
      </c>
      <c r="J258" t="s">
        <v>13</v>
      </c>
      <c r="K258">
        <v>0</v>
      </c>
      <c r="L258" t="s">
        <v>35</v>
      </c>
      <c r="M258" t="s">
        <v>14</v>
      </c>
      <c r="N258" s="2">
        <v>43</v>
      </c>
      <c r="O258" t="str" cm="1">
        <f t="array" ref="O258">_xlfn.IFS(
  AND(BikePurchase[[#This Row],[Age]]&gt;=18, BikePurchase[[#This Row],[Age]]&lt;=30), "Adolescent",
  AND(BikePurchase[[#This Row],[Age]]&gt;30, BikePurchase[[#This Row],[Age]]&lt;55), "Middle Aged",
  AND(BikePurchase[[#This Row],[Age]]&gt;=55, BikePurchase[[#This Row],[Age]]&lt;90), "Old",
  TRUE, "Invalid"
)</f>
        <v>Middle Aged</v>
      </c>
      <c r="P258" t="s">
        <v>15</v>
      </c>
      <c r="Q258" t="str">
        <f>IF(BikePurchase[[#This Row],[Purchased BikeX]]="No","Not Purchased","Purchased")</f>
        <v>Not Purchased</v>
      </c>
    </row>
    <row r="259" spans="1:17" x14ac:dyDescent="0.3">
      <c r="A259">
        <v>14164</v>
      </c>
      <c r="B259" t="s">
        <v>31</v>
      </c>
      <c r="C259" t="str">
        <f t="shared" si="8"/>
        <v>Single</v>
      </c>
      <c r="D259" t="s">
        <v>29</v>
      </c>
      <c r="E259" t="str">
        <f t="shared" si="9"/>
        <v>Female</v>
      </c>
      <c r="F259" s="2">
        <v>50000</v>
      </c>
      <c r="G259">
        <v>0</v>
      </c>
      <c r="H259" t="s">
        <v>27</v>
      </c>
      <c r="I259" t="s">
        <v>12</v>
      </c>
      <c r="J259" t="s">
        <v>13</v>
      </c>
      <c r="K259">
        <v>0</v>
      </c>
      <c r="L259" t="s">
        <v>35</v>
      </c>
      <c r="M259" t="s">
        <v>14</v>
      </c>
      <c r="N259" s="2">
        <v>36</v>
      </c>
      <c r="O259" t="str" cm="1">
        <f t="array" ref="O259">_xlfn.IFS(
  AND(BikePurchase[[#This Row],[Age]]&gt;=18, BikePurchase[[#This Row],[Age]]&lt;=30), "Adolescent",
  AND(BikePurchase[[#This Row],[Age]]&gt;30, BikePurchase[[#This Row],[Age]]&lt;55), "Middle Aged",
  AND(BikePurchase[[#This Row],[Age]]&gt;=55, BikePurchase[[#This Row],[Age]]&lt;90), "Old",
  TRUE, "Invalid"
)</f>
        <v>Middle Aged</v>
      </c>
      <c r="P259" t="s">
        <v>13</v>
      </c>
      <c r="Q259" t="str">
        <f>IF(BikePurchase[[#This Row],[Purchased BikeX]]="No","Not Purchased","Purchased")</f>
        <v>Purchased</v>
      </c>
    </row>
    <row r="260" spans="1:17" x14ac:dyDescent="0.3">
      <c r="A260">
        <v>14193</v>
      </c>
      <c r="B260" t="s">
        <v>31</v>
      </c>
      <c r="C260" t="str">
        <f t="shared" si="8"/>
        <v>Single</v>
      </c>
      <c r="D260" t="s">
        <v>29</v>
      </c>
      <c r="E260" t="str">
        <f t="shared" si="9"/>
        <v>Female</v>
      </c>
      <c r="F260" s="2">
        <v>100000</v>
      </c>
      <c r="G260">
        <v>3</v>
      </c>
      <c r="H260" t="s">
        <v>16</v>
      </c>
      <c r="I260" t="s">
        <v>25</v>
      </c>
      <c r="J260" t="s">
        <v>13</v>
      </c>
      <c r="K260">
        <v>4</v>
      </c>
      <c r="L260" t="s">
        <v>48</v>
      </c>
      <c r="M260" t="s">
        <v>14</v>
      </c>
      <c r="N260" s="2">
        <v>56</v>
      </c>
      <c r="O260" t="str" cm="1">
        <f t="array" ref="O260">_xlfn.IFS(
  AND(BikePurchase[[#This Row],[Age]]&gt;=18, BikePurchase[[#This Row],[Age]]&lt;=30), "Adolescent",
  AND(BikePurchase[[#This Row],[Age]]&gt;30, BikePurchase[[#This Row],[Age]]&lt;55), "Middle Aged",
  AND(BikePurchase[[#This Row],[Age]]&gt;=55, BikePurchase[[#This Row],[Age]]&lt;90), "Old",
  TRUE, "Invalid"
)</f>
        <v>Old</v>
      </c>
      <c r="P260" t="s">
        <v>15</v>
      </c>
      <c r="Q260" t="str">
        <f>IF(BikePurchase[[#This Row],[Purchased BikeX]]="No","Not Purchased","Purchased")</f>
        <v>Not Purchased</v>
      </c>
    </row>
    <row r="261" spans="1:17" x14ac:dyDescent="0.3">
      <c r="A261">
        <v>12705</v>
      </c>
      <c r="B261" t="s">
        <v>30</v>
      </c>
      <c r="C261" t="str">
        <f t="shared" si="8"/>
        <v>Married</v>
      </c>
      <c r="D261" t="s">
        <v>30</v>
      </c>
      <c r="E261" t="str">
        <f t="shared" si="9"/>
        <v>Male</v>
      </c>
      <c r="F261" s="2">
        <v>150000</v>
      </c>
      <c r="G261">
        <v>0</v>
      </c>
      <c r="H261" t="s">
        <v>11</v>
      </c>
      <c r="I261" t="s">
        <v>25</v>
      </c>
      <c r="J261" t="s">
        <v>13</v>
      </c>
      <c r="K261">
        <v>4</v>
      </c>
      <c r="L261" t="s">
        <v>35</v>
      </c>
      <c r="M261" t="s">
        <v>21</v>
      </c>
      <c r="N261" s="2">
        <v>37</v>
      </c>
      <c r="O261" t="str" cm="1">
        <f t="array" ref="O261">_xlfn.IFS(
  AND(BikePurchase[[#This Row],[Age]]&gt;=18, BikePurchase[[#This Row],[Age]]&lt;=30), "Adolescent",
  AND(BikePurchase[[#This Row],[Age]]&gt;30, BikePurchase[[#This Row],[Age]]&lt;55), "Middle Aged",
  AND(BikePurchase[[#This Row],[Age]]&gt;=55, BikePurchase[[#This Row],[Age]]&lt;90), "Old",
  TRUE, "Invalid"
)</f>
        <v>Middle Aged</v>
      </c>
      <c r="P261" t="s">
        <v>13</v>
      </c>
      <c r="Q261" t="str">
        <f>IF(BikePurchase[[#This Row],[Purchased BikeX]]="No","Not Purchased","Purchased")</f>
        <v>Purchased</v>
      </c>
    </row>
    <row r="262" spans="1:17" x14ac:dyDescent="0.3">
      <c r="A262">
        <v>22672</v>
      </c>
      <c r="B262" t="s">
        <v>31</v>
      </c>
      <c r="C262" t="str">
        <f t="shared" si="8"/>
        <v>Single</v>
      </c>
      <c r="D262" t="s">
        <v>29</v>
      </c>
      <c r="E262" t="str">
        <f t="shared" si="9"/>
        <v>Female</v>
      </c>
      <c r="F262" s="2">
        <v>30000</v>
      </c>
      <c r="G262">
        <v>2</v>
      </c>
      <c r="H262" t="s">
        <v>16</v>
      </c>
      <c r="I262" t="s">
        <v>17</v>
      </c>
      <c r="J262" t="s">
        <v>13</v>
      </c>
      <c r="K262">
        <v>0</v>
      </c>
      <c r="L262" t="s">
        <v>35</v>
      </c>
      <c r="M262" t="s">
        <v>14</v>
      </c>
      <c r="N262" s="2">
        <v>43</v>
      </c>
      <c r="O262" t="str" cm="1">
        <f t="array" ref="O262">_xlfn.IFS(
  AND(BikePurchase[[#This Row],[Age]]&gt;=18, BikePurchase[[#This Row],[Age]]&lt;=30), "Adolescent",
  AND(BikePurchase[[#This Row],[Age]]&gt;30, BikePurchase[[#This Row],[Age]]&lt;55), "Middle Aged",
  AND(BikePurchase[[#This Row],[Age]]&gt;=55, BikePurchase[[#This Row],[Age]]&lt;90), "Old",
  TRUE, "Invalid"
)</f>
        <v>Middle Aged</v>
      </c>
      <c r="P262" t="s">
        <v>15</v>
      </c>
      <c r="Q262" t="str">
        <f>IF(BikePurchase[[#This Row],[Purchased BikeX]]="No","Not Purchased","Purchased")</f>
        <v>Not Purchased</v>
      </c>
    </row>
    <row r="263" spans="1:17" x14ac:dyDescent="0.3">
      <c r="A263">
        <v>26219</v>
      </c>
      <c r="B263" t="s">
        <v>30</v>
      </c>
      <c r="C263" t="str">
        <f t="shared" si="8"/>
        <v>Married</v>
      </c>
      <c r="D263" t="s">
        <v>29</v>
      </c>
      <c r="E263" t="str">
        <f t="shared" si="9"/>
        <v>Female</v>
      </c>
      <c r="F263" s="2">
        <v>40000</v>
      </c>
      <c r="G263">
        <v>1</v>
      </c>
      <c r="H263" t="s">
        <v>11</v>
      </c>
      <c r="I263" t="s">
        <v>12</v>
      </c>
      <c r="J263" t="s">
        <v>13</v>
      </c>
      <c r="K263">
        <v>1</v>
      </c>
      <c r="L263" t="s">
        <v>23</v>
      </c>
      <c r="M263" t="s">
        <v>14</v>
      </c>
      <c r="N263" s="2">
        <v>33</v>
      </c>
      <c r="O263" t="str" cm="1">
        <f t="array" ref="O263">_xlfn.IFS(
  AND(BikePurchase[[#This Row],[Age]]&gt;=18, BikePurchase[[#This Row],[Age]]&lt;=30), "Adolescent",
  AND(BikePurchase[[#This Row],[Age]]&gt;30, BikePurchase[[#This Row],[Age]]&lt;55), "Middle Aged",
  AND(BikePurchase[[#This Row],[Age]]&gt;=55, BikePurchase[[#This Row],[Age]]&lt;90), "Old",
  TRUE, "Invalid"
)</f>
        <v>Middle Aged</v>
      </c>
      <c r="P263" t="s">
        <v>13</v>
      </c>
      <c r="Q263" t="str">
        <f>IF(BikePurchase[[#This Row],[Purchased BikeX]]="No","Not Purchased","Purchased")</f>
        <v>Purchased</v>
      </c>
    </row>
    <row r="264" spans="1:17" x14ac:dyDescent="0.3">
      <c r="A264">
        <v>28468</v>
      </c>
      <c r="B264" t="s">
        <v>30</v>
      </c>
      <c r="C264" t="str">
        <f t="shared" si="8"/>
        <v>Married</v>
      </c>
      <c r="D264" t="s">
        <v>29</v>
      </c>
      <c r="E264" t="str">
        <f t="shared" si="9"/>
        <v>Female</v>
      </c>
      <c r="F264" s="2">
        <v>10000</v>
      </c>
      <c r="G264">
        <v>2</v>
      </c>
      <c r="H264" t="s">
        <v>16</v>
      </c>
      <c r="I264" t="s">
        <v>22</v>
      </c>
      <c r="J264" t="s">
        <v>13</v>
      </c>
      <c r="K264">
        <v>0</v>
      </c>
      <c r="L264" t="s">
        <v>23</v>
      </c>
      <c r="M264" t="s">
        <v>14</v>
      </c>
      <c r="N264" s="2">
        <v>51</v>
      </c>
      <c r="O264" t="str" cm="1">
        <f t="array" ref="O264">_xlfn.IFS(
  AND(BikePurchase[[#This Row],[Age]]&gt;=18, BikePurchase[[#This Row],[Age]]&lt;=30), "Adolescent",
  AND(BikePurchase[[#This Row],[Age]]&gt;30, BikePurchase[[#This Row],[Age]]&lt;55), "Middle Aged",
  AND(BikePurchase[[#This Row],[Age]]&gt;=55, BikePurchase[[#This Row],[Age]]&lt;90), "Old",
  TRUE, "Invalid"
)</f>
        <v>Middle Aged</v>
      </c>
      <c r="P264" t="s">
        <v>15</v>
      </c>
      <c r="Q264" t="str">
        <f>IF(BikePurchase[[#This Row],[Purchased BikeX]]="No","Not Purchased","Purchased")</f>
        <v>Not Purchased</v>
      </c>
    </row>
    <row r="265" spans="1:17" x14ac:dyDescent="0.3">
      <c r="A265">
        <v>23419</v>
      </c>
      <c r="B265" t="s">
        <v>31</v>
      </c>
      <c r="C265" t="str">
        <f t="shared" si="8"/>
        <v>Single</v>
      </c>
      <c r="D265" t="s">
        <v>29</v>
      </c>
      <c r="E265" t="str">
        <f t="shared" si="9"/>
        <v>Female</v>
      </c>
      <c r="F265" s="2">
        <v>70000</v>
      </c>
      <c r="G265">
        <v>5</v>
      </c>
      <c r="H265" t="s">
        <v>11</v>
      </c>
      <c r="I265" t="s">
        <v>18</v>
      </c>
      <c r="J265" t="s">
        <v>13</v>
      </c>
      <c r="K265">
        <v>3</v>
      </c>
      <c r="L265" t="s">
        <v>48</v>
      </c>
      <c r="M265" t="s">
        <v>21</v>
      </c>
      <c r="N265" s="2">
        <v>39</v>
      </c>
      <c r="O265" t="str" cm="1">
        <f t="array" ref="O265">_xlfn.IFS(
  AND(BikePurchase[[#This Row],[Age]]&gt;=18, BikePurchase[[#This Row],[Age]]&lt;=30), "Adolescent",
  AND(BikePurchase[[#This Row],[Age]]&gt;30, BikePurchase[[#This Row],[Age]]&lt;55), "Middle Aged",
  AND(BikePurchase[[#This Row],[Age]]&gt;=55, BikePurchase[[#This Row],[Age]]&lt;90), "Old",
  TRUE, "Invalid"
)</f>
        <v>Middle Aged</v>
      </c>
      <c r="P265" t="s">
        <v>15</v>
      </c>
      <c r="Q265" t="str">
        <f>IF(BikePurchase[[#This Row],[Purchased BikeX]]="No","Not Purchased","Purchased")</f>
        <v>Not Purchased</v>
      </c>
    </row>
    <row r="266" spans="1:17" x14ac:dyDescent="0.3">
      <c r="A266">
        <v>17964</v>
      </c>
      <c r="B266" t="s">
        <v>30</v>
      </c>
      <c r="C266" t="str">
        <f t="shared" si="8"/>
        <v>Married</v>
      </c>
      <c r="D266" t="s">
        <v>30</v>
      </c>
      <c r="E266" t="str">
        <f t="shared" si="9"/>
        <v>Male</v>
      </c>
      <c r="F266" s="2">
        <v>40000</v>
      </c>
      <c r="G266">
        <v>0</v>
      </c>
      <c r="H266" t="s">
        <v>27</v>
      </c>
      <c r="I266" t="s">
        <v>17</v>
      </c>
      <c r="J266" t="s">
        <v>13</v>
      </c>
      <c r="K266">
        <v>0</v>
      </c>
      <c r="L266" t="s">
        <v>35</v>
      </c>
      <c r="M266" t="s">
        <v>14</v>
      </c>
      <c r="N266" s="2">
        <v>37</v>
      </c>
      <c r="O266" t="str" cm="1">
        <f t="array" ref="O266">_xlfn.IFS(
  AND(BikePurchase[[#This Row],[Age]]&gt;=18, BikePurchase[[#This Row],[Age]]&lt;=30), "Adolescent",
  AND(BikePurchase[[#This Row],[Age]]&gt;30, BikePurchase[[#This Row],[Age]]&lt;55), "Middle Aged",
  AND(BikePurchase[[#This Row],[Age]]&gt;=55, BikePurchase[[#This Row],[Age]]&lt;90), "Old",
  TRUE, "Invalid"
)</f>
        <v>Middle Aged</v>
      </c>
      <c r="P266" t="s">
        <v>13</v>
      </c>
      <c r="Q266" t="str">
        <f>IF(BikePurchase[[#This Row],[Purchased BikeX]]="No","Not Purchased","Purchased")</f>
        <v>Purchased</v>
      </c>
    </row>
    <row r="267" spans="1:17" x14ac:dyDescent="0.3">
      <c r="A267">
        <v>20919</v>
      </c>
      <c r="B267" t="s">
        <v>31</v>
      </c>
      <c r="C267" t="str">
        <f t="shared" si="8"/>
        <v>Single</v>
      </c>
      <c r="D267" t="s">
        <v>29</v>
      </c>
      <c r="E267" t="str">
        <f t="shared" si="9"/>
        <v>Female</v>
      </c>
      <c r="F267" s="2">
        <v>30000</v>
      </c>
      <c r="G267">
        <v>2</v>
      </c>
      <c r="H267" t="s">
        <v>16</v>
      </c>
      <c r="I267" t="s">
        <v>17</v>
      </c>
      <c r="J267" t="s">
        <v>13</v>
      </c>
      <c r="K267">
        <v>2</v>
      </c>
      <c r="L267" t="s">
        <v>35</v>
      </c>
      <c r="M267" t="s">
        <v>14</v>
      </c>
      <c r="N267" s="2">
        <v>42</v>
      </c>
      <c r="O267" t="str" cm="1">
        <f t="array" ref="O267">_xlfn.IFS(
  AND(BikePurchase[[#This Row],[Age]]&gt;=18, BikePurchase[[#This Row],[Age]]&lt;=30), "Adolescent",
  AND(BikePurchase[[#This Row],[Age]]&gt;30, BikePurchase[[#This Row],[Age]]&lt;55), "Middle Aged",
  AND(BikePurchase[[#This Row],[Age]]&gt;=55, BikePurchase[[#This Row],[Age]]&lt;90), "Old",
  TRUE, "Invalid"
)</f>
        <v>Middle Aged</v>
      </c>
      <c r="P267" t="s">
        <v>15</v>
      </c>
      <c r="Q267" t="str">
        <f>IF(BikePurchase[[#This Row],[Purchased BikeX]]="No","Not Purchased","Purchased")</f>
        <v>Not Purchased</v>
      </c>
    </row>
    <row r="268" spans="1:17" x14ac:dyDescent="0.3">
      <c r="A268">
        <v>20927</v>
      </c>
      <c r="B268" t="s">
        <v>31</v>
      </c>
      <c r="C268" t="str">
        <f t="shared" si="8"/>
        <v>Single</v>
      </c>
      <c r="D268" t="s">
        <v>29</v>
      </c>
      <c r="E268" t="str">
        <f t="shared" si="9"/>
        <v>Female</v>
      </c>
      <c r="F268" s="2">
        <v>20000</v>
      </c>
      <c r="G268">
        <v>5</v>
      </c>
      <c r="H268" t="s">
        <v>24</v>
      </c>
      <c r="I268" t="s">
        <v>22</v>
      </c>
      <c r="J268" t="s">
        <v>13</v>
      </c>
      <c r="K268">
        <v>2</v>
      </c>
      <c r="L268" t="s">
        <v>35</v>
      </c>
      <c r="M268" t="s">
        <v>14</v>
      </c>
      <c r="N268" s="2">
        <v>27</v>
      </c>
      <c r="O268" t="str" cm="1">
        <f t="array" ref="O268">_xlfn.IFS(
  AND(BikePurchase[[#This Row],[Age]]&gt;=18, BikePurchase[[#This Row],[Age]]&lt;=30), "Adolescent",
  AND(BikePurchase[[#This Row],[Age]]&gt;30, BikePurchase[[#This Row],[Age]]&lt;55), "Middle Aged",
  AND(BikePurchase[[#This Row],[Age]]&gt;=55, BikePurchase[[#This Row],[Age]]&lt;90), "Old",
  TRUE, "Invalid"
)</f>
        <v>Adolescent</v>
      </c>
      <c r="P268" t="s">
        <v>15</v>
      </c>
      <c r="Q268" t="str">
        <f>IF(BikePurchase[[#This Row],[Purchased BikeX]]="No","Not Purchased","Purchased")</f>
        <v>Not Purchased</v>
      </c>
    </row>
    <row r="269" spans="1:17" x14ac:dyDescent="0.3">
      <c r="A269">
        <v>13133</v>
      </c>
      <c r="B269" t="s">
        <v>31</v>
      </c>
      <c r="C269" t="str">
        <f t="shared" si="8"/>
        <v>Single</v>
      </c>
      <c r="D269" t="s">
        <v>30</v>
      </c>
      <c r="E269" t="str">
        <f t="shared" si="9"/>
        <v>Male</v>
      </c>
      <c r="F269" s="2">
        <v>100000</v>
      </c>
      <c r="G269">
        <v>5</v>
      </c>
      <c r="H269" t="s">
        <v>11</v>
      </c>
      <c r="I269" t="s">
        <v>18</v>
      </c>
      <c r="J269" t="s">
        <v>13</v>
      </c>
      <c r="K269">
        <v>1</v>
      </c>
      <c r="L269" t="s">
        <v>20</v>
      </c>
      <c r="M269" t="s">
        <v>21</v>
      </c>
      <c r="N269" s="2">
        <v>47</v>
      </c>
      <c r="O269" t="str" cm="1">
        <f t="array" ref="O269">_xlfn.IFS(
  AND(BikePurchase[[#This Row],[Age]]&gt;=18, BikePurchase[[#This Row],[Age]]&lt;=30), "Adolescent",
  AND(BikePurchase[[#This Row],[Age]]&gt;30, BikePurchase[[#This Row],[Age]]&lt;55), "Middle Aged",
  AND(BikePurchase[[#This Row],[Age]]&gt;=55, BikePurchase[[#This Row],[Age]]&lt;90), "Old",
  TRUE, "Invalid"
)</f>
        <v>Middle Aged</v>
      </c>
      <c r="P269" t="s">
        <v>13</v>
      </c>
      <c r="Q269" t="str">
        <f>IF(BikePurchase[[#This Row],[Purchased BikeX]]="No","Not Purchased","Purchased")</f>
        <v>Purchased</v>
      </c>
    </row>
    <row r="270" spans="1:17" x14ac:dyDescent="0.3">
      <c r="A270">
        <v>19626</v>
      </c>
      <c r="B270" t="s">
        <v>30</v>
      </c>
      <c r="C270" t="str">
        <f t="shared" si="8"/>
        <v>Married</v>
      </c>
      <c r="D270" t="s">
        <v>30</v>
      </c>
      <c r="E270" t="str">
        <f t="shared" si="9"/>
        <v>Male</v>
      </c>
      <c r="F270" s="2">
        <v>70000</v>
      </c>
      <c r="G270">
        <v>5</v>
      </c>
      <c r="H270" t="s">
        <v>16</v>
      </c>
      <c r="I270" t="s">
        <v>12</v>
      </c>
      <c r="J270" t="s">
        <v>13</v>
      </c>
      <c r="K270">
        <v>3</v>
      </c>
      <c r="L270" t="s">
        <v>20</v>
      </c>
      <c r="M270" t="s">
        <v>21</v>
      </c>
      <c r="N270" s="2">
        <v>45</v>
      </c>
      <c r="O270" t="str" cm="1">
        <f t="array" ref="O270">_xlfn.IFS(
  AND(BikePurchase[[#This Row],[Age]]&gt;=18, BikePurchase[[#This Row],[Age]]&lt;=30), "Adolescent",
  AND(BikePurchase[[#This Row],[Age]]&gt;30, BikePurchase[[#This Row],[Age]]&lt;55), "Middle Aged",
  AND(BikePurchase[[#This Row],[Age]]&gt;=55, BikePurchase[[#This Row],[Age]]&lt;90), "Old",
  TRUE, "Invalid"
)</f>
        <v>Middle Aged</v>
      </c>
      <c r="P270" t="s">
        <v>15</v>
      </c>
      <c r="Q270" t="str">
        <f>IF(BikePurchase[[#This Row],[Purchased BikeX]]="No","Not Purchased","Purchased")</f>
        <v>Not Purchased</v>
      </c>
    </row>
    <row r="271" spans="1:17" x14ac:dyDescent="0.3">
      <c r="A271">
        <v>21039</v>
      </c>
      <c r="B271" t="s">
        <v>31</v>
      </c>
      <c r="C271" t="str">
        <f t="shared" si="8"/>
        <v>Single</v>
      </c>
      <c r="D271" t="s">
        <v>29</v>
      </c>
      <c r="E271" t="str">
        <f t="shared" si="9"/>
        <v>Female</v>
      </c>
      <c r="F271" s="2">
        <v>50000</v>
      </c>
      <c r="G271">
        <v>0</v>
      </c>
      <c r="H271" t="s">
        <v>27</v>
      </c>
      <c r="I271" t="s">
        <v>12</v>
      </c>
      <c r="J271" t="s">
        <v>15</v>
      </c>
      <c r="K271">
        <v>0</v>
      </c>
      <c r="L271" t="s">
        <v>35</v>
      </c>
      <c r="M271" t="s">
        <v>14</v>
      </c>
      <c r="N271" s="2">
        <v>37</v>
      </c>
      <c r="O271" t="str" cm="1">
        <f t="array" ref="O271">_xlfn.IFS(
  AND(BikePurchase[[#This Row],[Age]]&gt;=18, BikePurchase[[#This Row],[Age]]&lt;=30), "Adolescent",
  AND(BikePurchase[[#This Row],[Age]]&gt;30, BikePurchase[[#This Row],[Age]]&lt;55), "Middle Aged",
  AND(BikePurchase[[#This Row],[Age]]&gt;=55, BikePurchase[[#This Row],[Age]]&lt;90), "Old",
  TRUE, "Invalid"
)</f>
        <v>Middle Aged</v>
      </c>
      <c r="P271" t="s">
        <v>13</v>
      </c>
      <c r="Q271" t="str">
        <f>IF(BikePurchase[[#This Row],[Purchased BikeX]]="No","Not Purchased","Purchased")</f>
        <v>Purchased</v>
      </c>
    </row>
    <row r="272" spans="1:17" x14ac:dyDescent="0.3">
      <c r="A272">
        <v>12231</v>
      </c>
      <c r="B272" t="s">
        <v>31</v>
      </c>
      <c r="C272" t="str">
        <f t="shared" si="8"/>
        <v>Single</v>
      </c>
      <c r="D272" t="s">
        <v>29</v>
      </c>
      <c r="E272" t="str">
        <f t="shared" si="9"/>
        <v>Female</v>
      </c>
      <c r="F272" s="2">
        <v>10000</v>
      </c>
      <c r="G272">
        <v>2</v>
      </c>
      <c r="H272" t="s">
        <v>16</v>
      </c>
      <c r="I272" t="s">
        <v>22</v>
      </c>
      <c r="J272" t="s">
        <v>13</v>
      </c>
      <c r="K272">
        <v>0</v>
      </c>
      <c r="L272" t="s">
        <v>35</v>
      </c>
      <c r="M272" t="s">
        <v>14</v>
      </c>
      <c r="N272" s="2">
        <v>51</v>
      </c>
      <c r="O272" t="str" cm="1">
        <f t="array" ref="O272">_xlfn.IFS(
  AND(BikePurchase[[#This Row],[Age]]&gt;=18, BikePurchase[[#This Row],[Age]]&lt;=30), "Adolescent",
  AND(BikePurchase[[#This Row],[Age]]&gt;30, BikePurchase[[#This Row],[Age]]&lt;55), "Middle Aged",
  AND(BikePurchase[[#This Row],[Age]]&gt;=55, BikePurchase[[#This Row],[Age]]&lt;90), "Old",
  TRUE, "Invalid"
)</f>
        <v>Middle Aged</v>
      </c>
      <c r="P272" t="s">
        <v>13</v>
      </c>
      <c r="Q272" t="str">
        <f>IF(BikePurchase[[#This Row],[Purchased BikeX]]="No","Not Purchased","Purchased")</f>
        <v>Purchased</v>
      </c>
    </row>
    <row r="273" spans="1:17" x14ac:dyDescent="0.3">
      <c r="A273">
        <v>25665</v>
      </c>
      <c r="B273" t="s">
        <v>31</v>
      </c>
      <c r="C273" t="str">
        <f t="shared" si="8"/>
        <v>Single</v>
      </c>
      <c r="D273" t="s">
        <v>29</v>
      </c>
      <c r="E273" t="str">
        <f t="shared" si="9"/>
        <v>Female</v>
      </c>
      <c r="F273" s="2">
        <v>20000</v>
      </c>
      <c r="G273">
        <v>0</v>
      </c>
      <c r="H273" t="s">
        <v>24</v>
      </c>
      <c r="I273" t="s">
        <v>22</v>
      </c>
      <c r="J273" t="s">
        <v>15</v>
      </c>
      <c r="K273">
        <v>1</v>
      </c>
      <c r="L273" t="s">
        <v>23</v>
      </c>
      <c r="M273" t="s">
        <v>14</v>
      </c>
      <c r="N273" s="2">
        <v>28</v>
      </c>
      <c r="O273" t="str" cm="1">
        <f t="array" ref="O273">_xlfn.IFS(
  AND(BikePurchase[[#This Row],[Age]]&gt;=18, BikePurchase[[#This Row],[Age]]&lt;=30), "Adolescent",
  AND(BikePurchase[[#This Row],[Age]]&gt;30, BikePurchase[[#This Row],[Age]]&lt;55), "Middle Aged",
  AND(BikePurchase[[#This Row],[Age]]&gt;=55, BikePurchase[[#This Row],[Age]]&lt;90), "Old",
  TRUE, "Invalid"
)</f>
        <v>Adolescent</v>
      </c>
      <c r="P273" t="s">
        <v>15</v>
      </c>
      <c r="Q273" t="str">
        <f>IF(BikePurchase[[#This Row],[Purchased BikeX]]="No","Not Purchased","Purchased")</f>
        <v>Not Purchased</v>
      </c>
    </row>
    <row r="274" spans="1:17" x14ac:dyDescent="0.3">
      <c r="A274">
        <v>24061</v>
      </c>
      <c r="B274" t="s">
        <v>30</v>
      </c>
      <c r="C274" t="str">
        <f t="shared" si="8"/>
        <v>Married</v>
      </c>
      <c r="D274" t="s">
        <v>30</v>
      </c>
      <c r="E274" t="str">
        <f t="shared" si="9"/>
        <v>Male</v>
      </c>
      <c r="F274" s="2">
        <v>10000</v>
      </c>
      <c r="G274">
        <v>4</v>
      </c>
      <c r="H274" t="s">
        <v>26</v>
      </c>
      <c r="I274" t="s">
        <v>22</v>
      </c>
      <c r="J274" t="s">
        <v>13</v>
      </c>
      <c r="K274">
        <v>1</v>
      </c>
      <c r="L274" t="s">
        <v>35</v>
      </c>
      <c r="M274" t="s">
        <v>14</v>
      </c>
      <c r="N274" s="2">
        <v>40</v>
      </c>
      <c r="O274" t="str" cm="1">
        <f t="array" ref="O274">_xlfn.IFS(
  AND(BikePurchase[[#This Row],[Age]]&gt;=18, BikePurchase[[#This Row],[Age]]&lt;=30), "Adolescent",
  AND(BikePurchase[[#This Row],[Age]]&gt;30, BikePurchase[[#This Row],[Age]]&lt;55), "Middle Aged",
  AND(BikePurchase[[#This Row],[Age]]&gt;=55, BikePurchase[[#This Row],[Age]]&lt;90), "Old",
  TRUE, "Invalid"
)</f>
        <v>Middle Aged</v>
      </c>
      <c r="P274" t="s">
        <v>13</v>
      </c>
      <c r="Q274" t="str">
        <f>IF(BikePurchase[[#This Row],[Purchased BikeX]]="No","Not Purchased","Purchased")</f>
        <v>Purchased</v>
      </c>
    </row>
    <row r="275" spans="1:17" x14ac:dyDescent="0.3">
      <c r="A275">
        <v>26879</v>
      </c>
      <c r="B275" t="s">
        <v>31</v>
      </c>
      <c r="C275" t="str">
        <f t="shared" si="8"/>
        <v>Single</v>
      </c>
      <c r="D275" t="s">
        <v>29</v>
      </c>
      <c r="E275" t="str">
        <f t="shared" si="9"/>
        <v>Female</v>
      </c>
      <c r="F275" s="2">
        <v>20000</v>
      </c>
      <c r="G275">
        <v>0</v>
      </c>
      <c r="H275" t="s">
        <v>24</v>
      </c>
      <c r="I275" t="s">
        <v>22</v>
      </c>
      <c r="J275" t="s">
        <v>15</v>
      </c>
      <c r="K275">
        <v>1</v>
      </c>
      <c r="L275" t="s">
        <v>19</v>
      </c>
      <c r="M275" t="s">
        <v>14</v>
      </c>
      <c r="N275" s="2">
        <v>30</v>
      </c>
      <c r="O275" t="str" cm="1">
        <f t="array" ref="O275">_xlfn.IFS(
  AND(BikePurchase[[#This Row],[Age]]&gt;=18, BikePurchase[[#This Row],[Age]]&lt;=30), "Adolescent",
  AND(BikePurchase[[#This Row],[Age]]&gt;30, BikePurchase[[#This Row],[Age]]&lt;55), "Middle Aged",
  AND(BikePurchase[[#This Row],[Age]]&gt;=55, BikePurchase[[#This Row],[Age]]&lt;90), "Old",
  TRUE, "Invalid"
)</f>
        <v>Adolescent</v>
      </c>
      <c r="P275" t="s">
        <v>15</v>
      </c>
      <c r="Q275" t="str">
        <f>IF(BikePurchase[[#This Row],[Purchased BikeX]]="No","Not Purchased","Purchased")</f>
        <v>Not Purchased</v>
      </c>
    </row>
    <row r="276" spans="1:17" x14ac:dyDescent="0.3">
      <c r="A276">
        <v>12284</v>
      </c>
      <c r="B276" t="s">
        <v>30</v>
      </c>
      <c r="C276" t="str">
        <f t="shared" si="8"/>
        <v>Married</v>
      </c>
      <c r="D276" t="s">
        <v>29</v>
      </c>
      <c r="E276" t="str">
        <f t="shared" si="9"/>
        <v>Female</v>
      </c>
      <c r="F276" s="2">
        <v>30000</v>
      </c>
      <c r="G276">
        <v>0</v>
      </c>
      <c r="H276" t="s">
        <v>11</v>
      </c>
      <c r="I276" t="s">
        <v>17</v>
      </c>
      <c r="J276" t="s">
        <v>15</v>
      </c>
      <c r="K276">
        <v>0</v>
      </c>
      <c r="L276" t="s">
        <v>35</v>
      </c>
      <c r="M276" t="s">
        <v>14</v>
      </c>
      <c r="N276" s="2">
        <v>36</v>
      </c>
      <c r="O276" t="str" cm="1">
        <f t="array" ref="O276">_xlfn.IFS(
  AND(BikePurchase[[#This Row],[Age]]&gt;=18, BikePurchase[[#This Row],[Age]]&lt;=30), "Adolescent",
  AND(BikePurchase[[#This Row],[Age]]&gt;30, BikePurchase[[#This Row],[Age]]&lt;55), "Middle Aged",
  AND(BikePurchase[[#This Row],[Age]]&gt;=55, BikePurchase[[#This Row],[Age]]&lt;90), "Old",
  TRUE, "Invalid"
)</f>
        <v>Middle Aged</v>
      </c>
      <c r="P276" t="s">
        <v>13</v>
      </c>
      <c r="Q276" t="str">
        <f>IF(BikePurchase[[#This Row],[Purchased BikeX]]="No","Not Purchased","Purchased")</f>
        <v>Purchased</v>
      </c>
    </row>
    <row r="277" spans="1:17" x14ac:dyDescent="0.3">
      <c r="A277">
        <v>26654</v>
      </c>
      <c r="B277" t="s">
        <v>30</v>
      </c>
      <c r="C277" t="str">
        <f t="shared" si="8"/>
        <v>Married</v>
      </c>
      <c r="D277" t="s">
        <v>29</v>
      </c>
      <c r="E277" t="str">
        <f t="shared" si="9"/>
        <v>Female</v>
      </c>
      <c r="F277" s="2">
        <v>90000</v>
      </c>
      <c r="G277">
        <v>1</v>
      </c>
      <c r="H277" t="s">
        <v>27</v>
      </c>
      <c r="I277" t="s">
        <v>25</v>
      </c>
      <c r="J277" t="s">
        <v>13</v>
      </c>
      <c r="K277">
        <v>0</v>
      </c>
      <c r="L277" t="s">
        <v>35</v>
      </c>
      <c r="M277" t="s">
        <v>21</v>
      </c>
      <c r="N277" s="2">
        <v>37</v>
      </c>
      <c r="O277" t="str" cm="1">
        <f t="array" ref="O277">_xlfn.IFS(
  AND(BikePurchase[[#This Row],[Age]]&gt;=18, BikePurchase[[#This Row],[Age]]&lt;=30), "Adolescent",
  AND(BikePurchase[[#This Row],[Age]]&gt;30, BikePurchase[[#This Row],[Age]]&lt;55), "Middle Aged",
  AND(BikePurchase[[#This Row],[Age]]&gt;=55, BikePurchase[[#This Row],[Age]]&lt;90), "Old",
  TRUE, "Invalid"
)</f>
        <v>Middle Aged</v>
      </c>
      <c r="P277" t="s">
        <v>13</v>
      </c>
      <c r="Q277" t="str">
        <f>IF(BikePurchase[[#This Row],[Purchased BikeX]]="No","Not Purchased","Purchased")</f>
        <v>Purchased</v>
      </c>
    </row>
    <row r="278" spans="1:17" x14ac:dyDescent="0.3">
      <c r="A278">
        <v>14545</v>
      </c>
      <c r="B278" t="s">
        <v>30</v>
      </c>
      <c r="C278" t="str">
        <f t="shared" si="8"/>
        <v>Married</v>
      </c>
      <c r="D278" t="s">
        <v>29</v>
      </c>
      <c r="E278" t="str">
        <f t="shared" si="9"/>
        <v>Female</v>
      </c>
      <c r="F278" s="2">
        <v>10000</v>
      </c>
      <c r="G278">
        <v>2</v>
      </c>
      <c r="H278" t="s">
        <v>16</v>
      </c>
      <c r="I278" t="s">
        <v>22</v>
      </c>
      <c r="J278" t="s">
        <v>13</v>
      </c>
      <c r="K278">
        <v>0</v>
      </c>
      <c r="L278" t="s">
        <v>23</v>
      </c>
      <c r="M278" t="s">
        <v>14</v>
      </c>
      <c r="N278" s="2">
        <v>49</v>
      </c>
      <c r="O278" t="str" cm="1">
        <f t="array" ref="O278">_xlfn.IFS(
  AND(BikePurchase[[#This Row],[Age]]&gt;=18, BikePurchase[[#This Row],[Age]]&lt;=30), "Adolescent",
  AND(BikePurchase[[#This Row],[Age]]&gt;30, BikePurchase[[#This Row],[Age]]&lt;55), "Middle Aged",
  AND(BikePurchase[[#This Row],[Age]]&gt;=55, BikePurchase[[#This Row],[Age]]&lt;90), "Old",
  TRUE, "Invalid"
)</f>
        <v>Middle Aged</v>
      </c>
      <c r="P278" t="s">
        <v>15</v>
      </c>
      <c r="Q278" t="str">
        <f>IF(BikePurchase[[#This Row],[Purchased BikeX]]="No","Not Purchased","Purchased")</f>
        <v>Not Purchased</v>
      </c>
    </row>
    <row r="279" spans="1:17" x14ac:dyDescent="0.3">
      <c r="A279">
        <v>24201</v>
      </c>
      <c r="B279" t="s">
        <v>30</v>
      </c>
      <c r="C279" t="str">
        <f t="shared" si="8"/>
        <v>Married</v>
      </c>
      <c r="D279" t="s">
        <v>29</v>
      </c>
      <c r="E279" t="str">
        <f t="shared" si="9"/>
        <v>Female</v>
      </c>
      <c r="F279" s="2">
        <v>10000</v>
      </c>
      <c r="G279">
        <v>2</v>
      </c>
      <c r="H279" t="s">
        <v>24</v>
      </c>
      <c r="I279" t="s">
        <v>22</v>
      </c>
      <c r="J279" t="s">
        <v>13</v>
      </c>
      <c r="K279">
        <v>0</v>
      </c>
      <c r="L279" t="s">
        <v>35</v>
      </c>
      <c r="M279" t="s">
        <v>14</v>
      </c>
      <c r="N279" s="2">
        <v>37</v>
      </c>
      <c r="O279" t="str" cm="1">
        <f t="array" ref="O279">_xlfn.IFS(
  AND(BikePurchase[[#This Row],[Age]]&gt;=18, BikePurchase[[#This Row],[Age]]&lt;=30), "Adolescent",
  AND(BikePurchase[[#This Row],[Age]]&gt;30, BikePurchase[[#This Row],[Age]]&lt;55), "Middle Aged",
  AND(BikePurchase[[#This Row],[Age]]&gt;=55, BikePurchase[[#This Row],[Age]]&lt;90), "Old",
  TRUE, "Invalid"
)</f>
        <v>Middle Aged</v>
      </c>
      <c r="P279" t="s">
        <v>13</v>
      </c>
      <c r="Q279" t="str">
        <f>IF(BikePurchase[[#This Row],[Purchased BikeX]]="No","Not Purchased","Purchased")</f>
        <v>Purchased</v>
      </c>
    </row>
    <row r="280" spans="1:17" x14ac:dyDescent="0.3">
      <c r="A280">
        <v>20625</v>
      </c>
      <c r="B280" t="s">
        <v>30</v>
      </c>
      <c r="C280" t="str">
        <f t="shared" si="8"/>
        <v>Married</v>
      </c>
      <c r="D280" t="s">
        <v>30</v>
      </c>
      <c r="E280" t="str">
        <f t="shared" si="9"/>
        <v>Male</v>
      </c>
      <c r="F280" s="2">
        <v>100000</v>
      </c>
      <c r="G280">
        <v>0</v>
      </c>
      <c r="H280" t="s">
        <v>24</v>
      </c>
      <c r="I280" t="s">
        <v>25</v>
      </c>
      <c r="J280" t="s">
        <v>13</v>
      </c>
      <c r="K280">
        <v>3</v>
      </c>
      <c r="L280" t="s">
        <v>48</v>
      </c>
      <c r="M280" t="s">
        <v>21</v>
      </c>
      <c r="N280" s="2">
        <v>35</v>
      </c>
      <c r="O280" t="str" cm="1">
        <f t="array" ref="O280">_xlfn.IFS(
  AND(BikePurchase[[#This Row],[Age]]&gt;=18, BikePurchase[[#This Row],[Age]]&lt;=30), "Adolescent",
  AND(BikePurchase[[#This Row],[Age]]&gt;30, BikePurchase[[#This Row],[Age]]&lt;55), "Middle Aged",
  AND(BikePurchase[[#This Row],[Age]]&gt;=55, BikePurchase[[#This Row],[Age]]&lt;90), "Old",
  TRUE, "Invalid"
)</f>
        <v>Middle Aged</v>
      </c>
      <c r="P280" t="s">
        <v>13</v>
      </c>
      <c r="Q280" t="str">
        <f>IF(BikePurchase[[#This Row],[Purchased BikeX]]="No","Not Purchased","Purchased")</f>
        <v>Purchased</v>
      </c>
    </row>
    <row r="281" spans="1:17" x14ac:dyDescent="0.3">
      <c r="A281">
        <v>16390</v>
      </c>
      <c r="B281" t="s">
        <v>31</v>
      </c>
      <c r="C281" t="str">
        <f t="shared" si="8"/>
        <v>Single</v>
      </c>
      <c r="D281" t="s">
        <v>30</v>
      </c>
      <c r="E281" t="str">
        <f t="shared" si="9"/>
        <v>Male</v>
      </c>
      <c r="F281" s="2">
        <v>30000</v>
      </c>
      <c r="G281">
        <v>1</v>
      </c>
      <c r="H281" t="s">
        <v>11</v>
      </c>
      <c r="I281" t="s">
        <v>17</v>
      </c>
      <c r="J281" t="s">
        <v>15</v>
      </c>
      <c r="K281">
        <v>0</v>
      </c>
      <c r="L281" t="s">
        <v>35</v>
      </c>
      <c r="M281" t="s">
        <v>14</v>
      </c>
      <c r="N281" s="2">
        <v>38</v>
      </c>
      <c r="O281" t="str" cm="1">
        <f t="array" ref="O281">_xlfn.IFS(
  AND(BikePurchase[[#This Row],[Age]]&gt;=18, BikePurchase[[#This Row],[Age]]&lt;=30), "Adolescent",
  AND(BikePurchase[[#This Row],[Age]]&gt;30, BikePurchase[[#This Row],[Age]]&lt;55), "Middle Aged",
  AND(BikePurchase[[#This Row],[Age]]&gt;=55, BikePurchase[[#This Row],[Age]]&lt;90), "Old",
  TRUE, "Invalid"
)</f>
        <v>Middle Aged</v>
      </c>
      <c r="P281" t="s">
        <v>13</v>
      </c>
      <c r="Q281" t="str">
        <f>IF(BikePurchase[[#This Row],[Purchased BikeX]]="No","Not Purchased","Purchased")</f>
        <v>Purchased</v>
      </c>
    </row>
    <row r="282" spans="1:17" x14ac:dyDescent="0.3">
      <c r="A282">
        <v>14804</v>
      </c>
      <c r="B282" t="s">
        <v>31</v>
      </c>
      <c r="C282" t="str">
        <f t="shared" si="8"/>
        <v>Single</v>
      </c>
      <c r="D282" t="s">
        <v>29</v>
      </c>
      <c r="E282" t="str">
        <f t="shared" si="9"/>
        <v>Female</v>
      </c>
      <c r="F282" s="2">
        <v>10000</v>
      </c>
      <c r="G282">
        <v>3</v>
      </c>
      <c r="H282" t="s">
        <v>26</v>
      </c>
      <c r="I282" t="s">
        <v>22</v>
      </c>
      <c r="J282" t="s">
        <v>13</v>
      </c>
      <c r="K282">
        <v>2</v>
      </c>
      <c r="L282" t="s">
        <v>35</v>
      </c>
      <c r="M282" t="s">
        <v>14</v>
      </c>
      <c r="N282" s="2">
        <v>43</v>
      </c>
      <c r="O282" t="str" cm="1">
        <f t="array" ref="O282">_xlfn.IFS(
  AND(BikePurchase[[#This Row],[Age]]&gt;=18, BikePurchase[[#This Row],[Age]]&lt;=30), "Adolescent",
  AND(BikePurchase[[#This Row],[Age]]&gt;30, BikePurchase[[#This Row],[Age]]&lt;55), "Middle Aged",
  AND(BikePurchase[[#This Row],[Age]]&gt;=55, BikePurchase[[#This Row],[Age]]&lt;90), "Old",
  TRUE, "Invalid"
)</f>
        <v>Middle Aged</v>
      </c>
      <c r="P282" t="s">
        <v>15</v>
      </c>
      <c r="Q282" t="str">
        <f>IF(BikePurchase[[#This Row],[Purchased BikeX]]="No","Not Purchased","Purchased")</f>
        <v>Not Purchased</v>
      </c>
    </row>
    <row r="283" spans="1:17" x14ac:dyDescent="0.3">
      <c r="A283">
        <v>12629</v>
      </c>
      <c r="B283" t="s">
        <v>31</v>
      </c>
      <c r="C283" t="str">
        <f t="shared" si="8"/>
        <v>Single</v>
      </c>
      <c r="D283" t="s">
        <v>30</v>
      </c>
      <c r="E283" t="str">
        <f t="shared" si="9"/>
        <v>Male</v>
      </c>
      <c r="F283" s="2">
        <v>20000</v>
      </c>
      <c r="G283">
        <v>1</v>
      </c>
      <c r="H283" t="s">
        <v>16</v>
      </c>
      <c r="I283" t="s">
        <v>22</v>
      </c>
      <c r="J283" t="s">
        <v>15</v>
      </c>
      <c r="K283">
        <v>0</v>
      </c>
      <c r="L283" t="s">
        <v>35</v>
      </c>
      <c r="M283" t="s">
        <v>14</v>
      </c>
      <c r="N283" s="2">
        <v>37</v>
      </c>
      <c r="O283" t="str" cm="1">
        <f t="array" ref="O283">_xlfn.IFS(
  AND(BikePurchase[[#This Row],[Age]]&gt;=18, BikePurchase[[#This Row],[Age]]&lt;=30), "Adolescent",
  AND(BikePurchase[[#This Row],[Age]]&gt;30, BikePurchase[[#This Row],[Age]]&lt;55), "Middle Aged",
  AND(BikePurchase[[#This Row],[Age]]&gt;=55, BikePurchase[[#This Row],[Age]]&lt;90), "Old",
  TRUE, "Invalid"
)</f>
        <v>Middle Aged</v>
      </c>
      <c r="P283" t="s">
        <v>15</v>
      </c>
      <c r="Q283" t="str">
        <f>IF(BikePurchase[[#This Row],[Purchased BikeX]]="No","Not Purchased","Purchased")</f>
        <v>Not Purchased</v>
      </c>
    </row>
    <row r="284" spans="1:17" x14ac:dyDescent="0.3">
      <c r="A284">
        <v>14696</v>
      </c>
      <c r="B284" t="s">
        <v>31</v>
      </c>
      <c r="C284" t="str">
        <f t="shared" si="8"/>
        <v>Single</v>
      </c>
      <c r="D284" t="s">
        <v>30</v>
      </c>
      <c r="E284" t="str">
        <f t="shared" si="9"/>
        <v>Male</v>
      </c>
      <c r="F284" s="2">
        <v>10000</v>
      </c>
      <c r="G284">
        <v>0</v>
      </c>
      <c r="H284" t="s">
        <v>26</v>
      </c>
      <c r="I284" t="s">
        <v>22</v>
      </c>
      <c r="J284" t="s">
        <v>15</v>
      </c>
      <c r="K284">
        <v>2</v>
      </c>
      <c r="L284" t="s">
        <v>35</v>
      </c>
      <c r="M284" t="s">
        <v>14</v>
      </c>
      <c r="N284" s="2">
        <v>34</v>
      </c>
      <c r="O284" t="str" cm="1">
        <f t="array" ref="O284">_xlfn.IFS(
  AND(BikePurchase[[#This Row],[Age]]&gt;=18, BikePurchase[[#This Row],[Age]]&lt;=30), "Adolescent",
  AND(BikePurchase[[#This Row],[Age]]&gt;30, BikePurchase[[#This Row],[Age]]&lt;55), "Middle Aged",
  AND(BikePurchase[[#This Row],[Age]]&gt;=55, BikePurchase[[#This Row],[Age]]&lt;90), "Old",
  TRUE, "Invalid"
)</f>
        <v>Middle Aged</v>
      </c>
      <c r="P284" t="s">
        <v>15</v>
      </c>
      <c r="Q284" t="str">
        <f>IF(BikePurchase[[#This Row],[Purchased BikeX]]="No","Not Purchased","Purchased")</f>
        <v>Not Purchased</v>
      </c>
    </row>
    <row r="285" spans="1:17" x14ac:dyDescent="0.3">
      <c r="A285">
        <v>22005</v>
      </c>
      <c r="B285" t="s">
        <v>30</v>
      </c>
      <c r="C285" t="str">
        <f t="shared" si="8"/>
        <v>Married</v>
      </c>
      <c r="D285" t="s">
        <v>29</v>
      </c>
      <c r="E285" t="str">
        <f t="shared" si="9"/>
        <v>Female</v>
      </c>
      <c r="F285" s="2">
        <v>70000</v>
      </c>
      <c r="G285">
        <v>5</v>
      </c>
      <c r="H285" t="s">
        <v>16</v>
      </c>
      <c r="I285" t="s">
        <v>12</v>
      </c>
      <c r="J285" t="s">
        <v>15</v>
      </c>
      <c r="K285">
        <v>3</v>
      </c>
      <c r="L285" t="s">
        <v>20</v>
      </c>
      <c r="M285" t="s">
        <v>21</v>
      </c>
      <c r="N285" s="2">
        <v>46</v>
      </c>
      <c r="O285" t="str" cm="1">
        <f t="array" ref="O285">_xlfn.IFS(
  AND(BikePurchase[[#This Row],[Age]]&gt;=18, BikePurchase[[#This Row],[Age]]&lt;=30), "Adolescent",
  AND(BikePurchase[[#This Row],[Age]]&gt;30, BikePurchase[[#This Row],[Age]]&lt;55), "Middle Aged",
  AND(BikePurchase[[#This Row],[Age]]&gt;=55, BikePurchase[[#This Row],[Age]]&lt;90), "Old",
  TRUE, "Invalid"
)</f>
        <v>Middle Aged</v>
      </c>
      <c r="P285" t="s">
        <v>15</v>
      </c>
      <c r="Q285" t="str">
        <f>IF(BikePurchase[[#This Row],[Purchased BikeX]]="No","Not Purchased","Purchased")</f>
        <v>Not Purchased</v>
      </c>
    </row>
    <row r="286" spans="1:17" x14ac:dyDescent="0.3">
      <c r="A286">
        <v>14544</v>
      </c>
      <c r="B286" t="s">
        <v>31</v>
      </c>
      <c r="C286" t="str">
        <f t="shared" si="8"/>
        <v>Single</v>
      </c>
      <c r="D286" t="s">
        <v>30</v>
      </c>
      <c r="E286" t="str">
        <f t="shared" si="9"/>
        <v>Male</v>
      </c>
      <c r="F286" s="2">
        <v>10000</v>
      </c>
      <c r="G286">
        <v>1</v>
      </c>
      <c r="H286" t="s">
        <v>16</v>
      </c>
      <c r="I286" t="s">
        <v>22</v>
      </c>
      <c r="J286" t="s">
        <v>13</v>
      </c>
      <c r="K286">
        <v>0</v>
      </c>
      <c r="L286" t="s">
        <v>35</v>
      </c>
      <c r="M286" t="s">
        <v>14</v>
      </c>
      <c r="N286" s="2">
        <v>49</v>
      </c>
      <c r="O286" t="str" cm="1">
        <f t="array" ref="O286">_xlfn.IFS(
  AND(BikePurchase[[#This Row],[Age]]&gt;=18, BikePurchase[[#This Row],[Age]]&lt;=30), "Adolescent",
  AND(BikePurchase[[#This Row],[Age]]&gt;30, BikePurchase[[#This Row],[Age]]&lt;55), "Middle Aged",
  AND(BikePurchase[[#This Row],[Age]]&gt;=55, BikePurchase[[#This Row],[Age]]&lt;90), "Old",
  TRUE, "Invalid"
)</f>
        <v>Middle Aged</v>
      </c>
      <c r="P286" t="s">
        <v>15</v>
      </c>
      <c r="Q286" t="str">
        <f>IF(BikePurchase[[#This Row],[Purchased BikeX]]="No","Not Purchased","Purchased")</f>
        <v>Not Purchased</v>
      </c>
    </row>
    <row r="287" spans="1:17" x14ac:dyDescent="0.3">
      <c r="A287">
        <v>14312</v>
      </c>
      <c r="B287" t="s">
        <v>30</v>
      </c>
      <c r="C287" t="str">
        <f t="shared" si="8"/>
        <v>Married</v>
      </c>
      <c r="D287" t="s">
        <v>29</v>
      </c>
      <c r="E287" t="str">
        <f t="shared" si="9"/>
        <v>Female</v>
      </c>
      <c r="F287" s="2">
        <v>60000</v>
      </c>
      <c r="G287">
        <v>1</v>
      </c>
      <c r="H287" t="s">
        <v>16</v>
      </c>
      <c r="I287" t="s">
        <v>12</v>
      </c>
      <c r="J287" t="s">
        <v>13</v>
      </c>
      <c r="K287">
        <v>1</v>
      </c>
      <c r="L287" t="s">
        <v>20</v>
      </c>
      <c r="M287" t="s">
        <v>21</v>
      </c>
      <c r="N287" s="2">
        <v>45</v>
      </c>
      <c r="O287" t="str" cm="1">
        <f t="array" ref="O287">_xlfn.IFS(
  AND(BikePurchase[[#This Row],[Age]]&gt;=18, BikePurchase[[#This Row],[Age]]&lt;=30), "Adolescent",
  AND(BikePurchase[[#This Row],[Age]]&gt;30, BikePurchase[[#This Row],[Age]]&lt;55), "Middle Aged",
  AND(BikePurchase[[#This Row],[Age]]&gt;=55, BikePurchase[[#This Row],[Age]]&lt;90), "Old",
  TRUE, "Invalid"
)</f>
        <v>Middle Aged</v>
      </c>
      <c r="P287" t="s">
        <v>15</v>
      </c>
      <c r="Q287" t="str">
        <f>IF(BikePurchase[[#This Row],[Purchased BikeX]]="No","Not Purchased","Purchased")</f>
        <v>Not Purchased</v>
      </c>
    </row>
    <row r="288" spans="1:17" x14ac:dyDescent="0.3">
      <c r="A288">
        <v>29120</v>
      </c>
      <c r="B288" t="s">
        <v>31</v>
      </c>
      <c r="C288" t="str">
        <f t="shared" si="8"/>
        <v>Single</v>
      </c>
      <c r="D288" t="s">
        <v>29</v>
      </c>
      <c r="E288" t="str">
        <f t="shared" si="9"/>
        <v>Female</v>
      </c>
      <c r="F288" s="2">
        <v>100000</v>
      </c>
      <c r="G288">
        <v>1</v>
      </c>
      <c r="H288" t="s">
        <v>11</v>
      </c>
      <c r="I288" t="s">
        <v>25</v>
      </c>
      <c r="J288" t="s">
        <v>13</v>
      </c>
      <c r="K288">
        <v>4</v>
      </c>
      <c r="L288" t="s">
        <v>19</v>
      </c>
      <c r="M288" t="s">
        <v>21</v>
      </c>
      <c r="N288" s="2">
        <v>48</v>
      </c>
      <c r="O288" t="str" cm="1">
        <f t="array" ref="O288">_xlfn.IFS(
  AND(BikePurchase[[#This Row],[Age]]&gt;=18, BikePurchase[[#This Row],[Age]]&lt;=30), "Adolescent",
  AND(BikePurchase[[#This Row],[Age]]&gt;30, BikePurchase[[#This Row],[Age]]&lt;55), "Middle Aged",
  AND(BikePurchase[[#This Row],[Age]]&gt;=55, BikePurchase[[#This Row],[Age]]&lt;90), "Old",
  TRUE, "Invalid"
)</f>
        <v>Middle Aged</v>
      </c>
      <c r="P288" t="s">
        <v>15</v>
      </c>
      <c r="Q288" t="str">
        <f>IF(BikePurchase[[#This Row],[Purchased BikeX]]="No","Not Purchased","Purchased")</f>
        <v>Not Purchased</v>
      </c>
    </row>
    <row r="289" spans="1:17" x14ac:dyDescent="0.3">
      <c r="A289">
        <v>24187</v>
      </c>
      <c r="B289" t="s">
        <v>31</v>
      </c>
      <c r="C289" t="str">
        <f t="shared" si="8"/>
        <v>Single</v>
      </c>
      <c r="D289" t="s">
        <v>29</v>
      </c>
      <c r="E289" t="str">
        <f t="shared" si="9"/>
        <v>Female</v>
      </c>
      <c r="F289" s="2">
        <v>30000</v>
      </c>
      <c r="G289">
        <v>3</v>
      </c>
      <c r="H289" t="s">
        <v>27</v>
      </c>
      <c r="I289" t="s">
        <v>17</v>
      </c>
      <c r="J289" t="s">
        <v>15</v>
      </c>
      <c r="K289">
        <v>0</v>
      </c>
      <c r="L289" t="s">
        <v>35</v>
      </c>
      <c r="M289" t="s">
        <v>14</v>
      </c>
      <c r="N289" s="2">
        <v>46</v>
      </c>
      <c r="O289" t="str" cm="1">
        <f t="array" ref="O289">_xlfn.IFS(
  AND(BikePurchase[[#This Row],[Age]]&gt;=18, BikePurchase[[#This Row],[Age]]&lt;=30), "Adolescent",
  AND(BikePurchase[[#This Row],[Age]]&gt;30, BikePurchase[[#This Row],[Age]]&lt;55), "Middle Aged",
  AND(BikePurchase[[#This Row],[Age]]&gt;=55, BikePurchase[[#This Row],[Age]]&lt;90), "Old",
  TRUE, "Invalid"
)</f>
        <v>Middle Aged</v>
      </c>
      <c r="P289" t="s">
        <v>13</v>
      </c>
      <c r="Q289" t="str">
        <f>IF(BikePurchase[[#This Row],[Purchased BikeX]]="No","Not Purchased","Purchased")</f>
        <v>Purchased</v>
      </c>
    </row>
    <row r="290" spans="1:17" x14ac:dyDescent="0.3">
      <c r="A290">
        <v>15758</v>
      </c>
      <c r="B290" t="s">
        <v>30</v>
      </c>
      <c r="C290" t="str">
        <f t="shared" si="8"/>
        <v>Married</v>
      </c>
      <c r="D290" t="s">
        <v>30</v>
      </c>
      <c r="E290" t="str">
        <f t="shared" si="9"/>
        <v>Male</v>
      </c>
      <c r="F290" s="2">
        <v>130000</v>
      </c>
      <c r="G290">
        <v>0</v>
      </c>
      <c r="H290" t="s">
        <v>27</v>
      </c>
      <c r="I290" t="s">
        <v>25</v>
      </c>
      <c r="J290" t="s">
        <v>13</v>
      </c>
      <c r="K290">
        <v>0</v>
      </c>
      <c r="L290" t="s">
        <v>20</v>
      </c>
      <c r="M290" t="s">
        <v>21</v>
      </c>
      <c r="N290" s="2">
        <v>48</v>
      </c>
      <c r="O290" t="str" cm="1">
        <f t="array" ref="O290">_xlfn.IFS(
  AND(BikePurchase[[#This Row],[Age]]&gt;=18, BikePurchase[[#This Row],[Age]]&lt;=30), "Adolescent",
  AND(BikePurchase[[#This Row],[Age]]&gt;30, BikePurchase[[#This Row],[Age]]&lt;55), "Middle Aged",
  AND(BikePurchase[[#This Row],[Age]]&gt;=55, BikePurchase[[#This Row],[Age]]&lt;90), "Old",
  TRUE, "Invalid"
)</f>
        <v>Middle Aged</v>
      </c>
      <c r="P290" t="s">
        <v>15</v>
      </c>
      <c r="Q290" t="str">
        <f>IF(BikePurchase[[#This Row],[Purchased BikeX]]="No","Not Purchased","Purchased")</f>
        <v>Not Purchased</v>
      </c>
    </row>
    <row r="291" spans="1:17" x14ac:dyDescent="0.3">
      <c r="A291">
        <v>29094</v>
      </c>
      <c r="B291" t="s">
        <v>30</v>
      </c>
      <c r="C291" t="str">
        <f t="shared" si="8"/>
        <v>Married</v>
      </c>
      <c r="D291" t="s">
        <v>30</v>
      </c>
      <c r="E291" t="str">
        <f t="shared" si="9"/>
        <v>Male</v>
      </c>
      <c r="F291" s="2">
        <v>30000</v>
      </c>
      <c r="G291">
        <v>3</v>
      </c>
      <c r="H291" t="s">
        <v>24</v>
      </c>
      <c r="I291" t="s">
        <v>12</v>
      </c>
      <c r="J291" t="s">
        <v>13</v>
      </c>
      <c r="K291">
        <v>2</v>
      </c>
      <c r="L291" t="s">
        <v>20</v>
      </c>
      <c r="M291" t="s">
        <v>21</v>
      </c>
      <c r="N291" s="2">
        <v>54</v>
      </c>
      <c r="O291" t="str" cm="1">
        <f t="array" ref="O291">_xlfn.IFS(
  AND(BikePurchase[[#This Row],[Age]]&gt;=18, BikePurchase[[#This Row],[Age]]&lt;=30), "Adolescent",
  AND(BikePurchase[[#This Row],[Age]]&gt;30, BikePurchase[[#This Row],[Age]]&lt;55), "Middle Aged",
  AND(BikePurchase[[#This Row],[Age]]&gt;=55, BikePurchase[[#This Row],[Age]]&lt;90), "Old",
  TRUE, "Invalid"
)</f>
        <v>Middle Aged</v>
      </c>
      <c r="P291" t="s">
        <v>13</v>
      </c>
      <c r="Q291" t="str">
        <f>IF(BikePurchase[[#This Row],[Purchased BikeX]]="No","Not Purchased","Purchased")</f>
        <v>Purchased</v>
      </c>
    </row>
    <row r="292" spans="1:17" x14ac:dyDescent="0.3">
      <c r="A292">
        <v>28319</v>
      </c>
      <c r="B292" t="s">
        <v>31</v>
      </c>
      <c r="C292" t="str">
        <f t="shared" si="8"/>
        <v>Single</v>
      </c>
      <c r="D292" t="s">
        <v>29</v>
      </c>
      <c r="E292" t="str">
        <f t="shared" si="9"/>
        <v>Female</v>
      </c>
      <c r="F292" s="2">
        <v>60000</v>
      </c>
      <c r="G292">
        <v>1</v>
      </c>
      <c r="H292" t="s">
        <v>16</v>
      </c>
      <c r="I292" t="s">
        <v>12</v>
      </c>
      <c r="J292" t="s">
        <v>15</v>
      </c>
      <c r="K292">
        <v>1</v>
      </c>
      <c r="L292" t="s">
        <v>35</v>
      </c>
      <c r="M292" t="s">
        <v>21</v>
      </c>
      <c r="N292" s="2">
        <v>46</v>
      </c>
      <c r="O292" t="str" cm="1">
        <f t="array" ref="O292">_xlfn.IFS(
  AND(BikePurchase[[#This Row],[Age]]&gt;=18, BikePurchase[[#This Row],[Age]]&lt;=30), "Adolescent",
  AND(BikePurchase[[#This Row],[Age]]&gt;30, BikePurchase[[#This Row],[Age]]&lt;55), "Middle Aged",
  AND(BikePurchase[[#This Row],[Age]]&gt;=55, BikePurchase[[#This Row],[Age]]&lt;90), "Old",
  TRUE, "Invalid"
)</f>
        <v>Middle Aged</v>
      </c>
      <c r="P292" t="s">
        <v>13</v>
      </c>
      <c r="Q292" t="str">
        <f>IF(BikePurchase[[#This Row],[Purchased BikeX]]="No","Not Purchased","Purchased")</f>
        <v>Purchased</v>
      </c>
    </row>
    <row r="293" spans="1:17" x14ac:dyDescent="0.3">
      <c r="A293">
        <v>16406</v>
      </c>
      <c r="B293" t="s">
        <v>30</v>
      </c>
      <c r="C293" t="str">
        <f t="shared" si="8"/>
        <v>Married</v>
      </c>
      <c r="D293" t="s">
        <v>30</v>
      </c>
      <c r="E293" t="str">
        <f t="shared" si="9"/>
        <v>Male</v>
      </c>
      <c r="F293" s="2">
        <v>40000</v>
      </c>
      <c r="G293">
        <v>0</v>
      </c>
      <c r="H293" t="s">
        <v>11</v>
      </c>
      <c r="I293" t="s">
        <v>17</v>
      </c>
      <c r="J293" t="s">
        <v>15</v>
      </c>
      <c r="K293">
        <v>0</v>
      </c>
      <c r="L293" t="s">
        <v>35</v>
      </c>
      <c r="M293" t="s">
        <v>14</v>
      </c>
      <c r="N293" s="2">
        <v>38</v>
      </c>
      <c r="O293" t="str" cm="1">
        <f t="array" ref="O293">_xlfn.IFS(
  AND(BikePurchase[[#This Row],[Age]]&gt;=18, BikePurchase[[#This Row],[Age]]&lt;=30), "Adolescent",
  AND(BikePurchase[[#This Row],[Age]]&gt;30, BikePurchase[[#This Row],[Age]]&lt;55), "Middle Aged",
  AND(BikePurchase[[#This Row],[Age]]&gt;=55, BikePurchase[[#This Row],[Age]]&lt;90), "Old",
  TRUE, "Invalid"
)</f>
        <v>Middle Aged</v>
      </c>
      <c r="P293" t="s">
        <v>13</v>
      </c>
      <c r="Q293" t="str">
        <f>IF(BikePurchase[[#This Row],[Purchased BikeX]]="No","Not Purchased","Purchased")</f>
        <v>Purchased</v>
      </c>
    </row>
    <row r="294" spans="1:17" x14ac:dyDescent="0.3">
      <c r="A294">
        <v>20923</v>
      </c>
      <c r="B294" t="s">
        <v>30</v>
      </c>
      <c r="C294" t="str">
        <f t="shared" si="8"/>
        <v>Married</v>
      </c>
      <c r="D294" t="s">
        <v>29</v>
      </c>
      <c r="E294" t="str">
        <f t="shared" si="9"/>
        <v>Female</v>
      </c>
      <c r="F294" s="2">
        <v>40000</v>
      </c>
      <c r="G294">
        <v>1</v>
      </c>
      <c r="H294" t="s">
        <v>11</v>
      </c>
      <c r="I294" t="s">
        <v>12</v>
      </c>
      <c r="J294" t="s">
        <v>13</v>
      </c>
      <c r="K294">
        <v>0</v>
      </c>
      <c r="L294" t="s">
        <v>35</v>
      </c>
      <c r="M294" t="s">
        <v>14</v>
      </c>
      <c r="N294" s="2">
        <v>42</v>
      </c>
      <c r="O294" t="str" cm="1">
        <f t="array" ref="O294">_xlfn.IFS(
  AND(BikePurchase[[#This Row],[Age]]&gt;=18, BikePurchase[[#This Row],[Age]]&lt;=30), "Adolescent",
  AND(BikePurchase[[#This Row],[Age]]&gt;30, BikePurchase[[#This Row],[Age]]&lt;55), "Middle Aged",
  AND(BikePurchase[[#This Row],[Age]]&gt;=55, BikePurchase[[#This Row],[Age]]&lt;90), "Old",
  TRUE, "Invalid"
)</f>
        <v>Middle Aged</v>
      </c>
      <c r="P294" t="s">
        <v>13</v>
      </c>
      <c r="Q294" t="str">
        <f>IF(BikePurchase[[#This Row],[Purchased BikeX]]="No","Not Purchased","Purchased")</f>
        <v>Purchased</v>
      </c>
    </row>
    <row r="295" spans="1:17" x14ac:dyDescent="0.3">
      <c r="A295">
        <v>11378</v>
      </c>
      <c r="B295" t="s">
        <v>31</v>
      </c>
      <c r="C295" t="str">
        <f t="shared" si="8"/>
        <v>Single</v>
      </c>
      <c r="D295" t="s">
        <v>29</v>
      </c>
      <c r="E295" t="str">
        <f t="shared" si="9"/>
        <v>Female</v>
      </c>
      <c r="F295" s="2">
        <v>10000</v>
      </c>
      <c r="G295">
        <v>1</v>
      </c>
      <c r="H295" t="s">
        <v>24</v>
      </c>
      <c r="I295" t="s">
        <v>22</v>
      </c>
      <c r="J295" t="s">
        <v>15</v>
      </c>
      <c r="K295">
        <v>1</v>
      </c>
      <c r="L295" t="s">
        <v>19</v>
      </c>
      <c r="M295" t="s">
        <v>14</v>
      </c>
      <c r="N295" s="2">
        <v>46</v>
      </c>
      <c r="O295" t="str" cm="1">
        <f t="array" ref="O295">_xlfn.IFS(
  AND(BikePurchase[[#This Row],[Age]]&gt;=18, BikePurchase[[#This Row],[Age]]&lt;=30), "Adolescent",
  AND(BikePurchase[[#This Row],[Age]]&gt;30, BikePurchase[[#This Row],[Age]]&lt;55), "Middle Aged",
  AND(BikePurchase[[#This Row],[Age]]&gt;=55, BikePurchase[[#This Row],[Age]]&lt;90), "Old",
  TRUE, "Invalid"
)</f>
        <v>Middle Aged</v>
      </c>
      <c r="P295" t="s">
        <v>13</v>
      </c>
      <c r="Q295" t="str">
        <f>IF(BikePurchase[[#This Row],[Purchased BikeX]]="No","Not Purchased","Purchased")</f>
        <v>Purchased</v>
      </c>
    </row>
    <row r="296" spans="1:17" x14ac:dyDescent="0.3">
      <c r="A296">
        <v>20851</v>
      </c>
      <c r="B296" t="s">
        <v>31</v>
      </c>
      <c r="C296" t="str">
        <f t="shared" si="8"/>
        <v>Single</v>
      </c>
      <c r="D296" t="s">
        <v>30</v>
      </c>
      <c r="E296" t="str">
        <f t="shared" si="9"/>
        <v>Male</v>
      </c>
      <c r="F296" s="2">
        <v>20000</v>
      </c>
      <c r="G296">
        <v>0</v>
      </c>
      <c r="H296" t="s">
        <v>16</v>
      </c>
      <c r="I296" t="s">
        <v>22</v>
      </c>
      <c r="J296" t="s">
        <v>15</v>
      </c>
      <c r="K296">
        <v>1</v>
      </c>
      <c r="L296" t="s">
        <v>19</v>
      </c>
      <c r="M296" t="s">
        <v>14</v>
      </c>
      <c r="N296" s="2">
        <v>36</v>
      </c>
      <c r="O296" t="str" cm="1">
        <f t="array" ref="O296">_xlfn.IFS(
  AND(BikePurchase[[#This Row],[Age]]&gt;=18, BikePurchase[[#This Row],[Age]]&lt;=30), "Adolescent",
  AND(BikePurchase[[#This Row],[Age]]&gt;30, BikePurchase[[#This Row],[Age]]&lt;55), "Middle Aged",
  AND(BikePurchase[[#This Row],[Age]]&gt;=55, BikePurchase[[#This Row],[Age]]&lt;90), "Old",
  TRUE, "Invalid"
)</f>
        <v>Middle Aged</v>
      </c>
      <c r="P296" t="s">
        <v>13</v>
      </c>
      <c r="Q296" t="str">
        <f>IF(BikePurchase[[#This Row],[Purchased BikeX]]="No","Not Purchased","Purchased")</f>
        <v>Purchased</v>
      </c>
    </row>
    <row r="297" spans="1:17" x14ac:dyDescent="0.3">
      <c r="A297">
        <v>21557</v>
      </c>
      <c r="B297" t="s">
        <v>31</v>
      </c>
      <c r="C297" t="str">
        <f t="shared" si="8"/>
        <v>Single</v>
      </c>
      <c r="D297" t="s">
        <v>29</v>
      </c>
      <c r="E297" t="str">
        <f t="shared" si="9"/>
        <v>Female</v>
      </c>
      <c r="F297" s="2">
        <v>110000</v>
      </c>
      <c r="G297">
        <v>0</v>
      </c>
      <c r="H297" t="s">
        <v>16</v>
      </c>
      <c r="I297" t="s">
        <v>25</v>
      </c>
      <c r="J297" t="s">
        <v>13</v>
      </c>
      <c r="K297">
        <v>3</v>
      </c>
      <c r="L297" t="s">
        <v>48</v>
      </c>
      <c r="M297" t="s">
        <v>21</v>
      </c>
      <c r="N297" s="2">
        <v>32</v>
      </c>
      <c r="O297" t="str" cm="1">
        <f t="array" ref="O297">_xlfn.IFS(
  AND(BikePurchase[[#This Row],[Age]]&gt;=18, BikePurchase[[#This Row],[Age]]&lt;=30), "Adolescent",
  AND(BikePurchase[[#This Row],[Age]]&gt;30, BikePurchase[[#This Row],[Age]]&lt;55), "Middle Aged",
  AND(BikePurchase[[#This Row],[Age]]&gt;=55, BikePurchase[[#This Row],[Age]]&lt;90), "Old",
  TRUE, "Invalid"
)</f>
        <v>Middle Aged</v>
      </c>
      <c r="P297" t="s">
        <v>13</v>
      </c>
      <c r="Q297" t="str">
        <f>IF(BikePurchase[[#This Row],[Purchased BikeX]]="No","Not Purchased","Purchased")</f>
        <v>Purchased</v>
      </c>
    </row>
    <row r="298" spans="1:17" x14ac:dyDescent="0.3">
      <c r="A298">
        <v>26663</v>
      </c>
      <c r="B298" t="s">
        <v>31</v>
      </c>
      <c r="C298" t="str">
        <f t="shared" si="8"/>
        <v>Single</v>
      </c>
      <c r="D298" t="s">
        <v>29</v>
      </c>
      <c r="E298" t="str">
        <f t="shared" si="9"/>
        <v>Female</v>
      </c>
      <c r="F298" s="2">
        <v>60000</v>
      </c>
      <c r="G298">
        <v>2</v>
      </c>
      <c r="H298" t="s">
        <v>11</v>
      </c>
      <c r="I298" t="s">
        <v>18</v>
      </c>
      <c r="J298" t="s">
        <v>15</v>
      </c>
      <c r="K298">
        <v>1</v>
      </c>
      <c r="L298" t="s">
        <v>35</v>
      </c>
      <c r="M298" t="s">
        <v>21</v>
      </c>
      <c r="N298" s="2">
        <v>39</v>
      </c>
      <c r="O298" t="str" cm="1">
        <f t="array" ref="O298">_xlfn.IFS(
  AND(BikePurchase[[#This Row],[Age]]&gt;=18, BikePurchase[[#This Row],[Age]]&lt;=30), "Adolescent",
  AND(BikePurchase[[#This Row],[Age]]&gt;30, BikePurchase[[#This Row],[Age]]&lt;55), "Middle Aged",
  AND(BikePurchase[[#This Row],[Age]]&gt;=55, BikePurchase[[#This Row],[Age]]&lt;90), "Old",
  TRUE, "Invalid"
)</f>
        <v>Middle Aged</v>
      </c>
      <c r="P298" t="s">
        <v>13</v>
      </c>
      <c r="Q298" t="str">
        <f>IF(BikePurchase[[#This Row],[Purchased BikeX]]="No","Not Purchased","Purchased")</f>
        <v>Purchased</v>
      </c>
    </row>
    <row r="299" spans="1:17" x14ac:dyDescent="0.3">
      <c r="A299">
        <v>11896</v>
      </c>
      <c r="B299" t="s">
        <v>30</v>
      </c>
      <c r="C299" t="str">
        <f t="shared" si="8"/>
        <v>Married</v>
      </c>
      <c r="D299" t="s">
        <v>30</v>
      </c>
      <c r="E299" t="str">
        <f t="shared" si="9"/>
        <v>Male</v>
      </c>
      <c r="F299" s="2">
        <v>100000</v>
      </c>
      <c r="G299">
        <v>1</v>
      </c>
      <c r="H299" t="s">
        <v>27</v>
      </c>
      <c r="I299" t="s">
        <v>25</v>
      </c>
      <c r="J299" t="s">
        <v>13</v>
      </c>
      <c r="K299">
        <v>0</v>
      </c>
      <c r="L299" t="s">
        <v>19</v>
      </c>
      <c r="M299" t="s">
        <v>21</v>
      </c>
      <c r="N299" s="2">
        <v>36</v>
      </c>
      <c r="O299" t="str" cm="1">
        <f t="array" ref="O299">_xlfn.IFS(
  AND(BikePurchase[[#This Row],[Age]]&gt;=18, BikePurchase[[#This Row],[Age]]&lt;=30), "Adolescent",
  AND(BikePurchase[[#This Row],[Age]]&gt;30, BikePurchase[[#This Row],[Age]]&lt;55), "Middle Aged",
  AND(BikePurchase[[#This Row],[Age]]&gt;=55, BikePurchase[[#This Row],[Age]]&lt;90), "Old",
  TRUE, "Invalid"
)</f>
        <v>Middle Aged</v>
      </c>
      <c r="P299" t="s">
        <v>13</v>
      </c>
      <c r="Q299" t="str">
        <f>IF(BikePurchase[[#This Row],[Purchased BikeX]]="No","Not Purchased","Purchased")</f>
        <v>Purchased</v>
      </c>
    </row>
    <row r="300" spans="1:17" x14ac:dyDescent="0.3">
      <c r="A300">
        <v>14189</v>
      </c>
      <c r="B300" t="s">
        <v>30</v>
      </c>
      <c r="C300" t="str">
        <f t="shared" si="8"/>
        <v>Married</v>
      </c>
      <c r="D300" t="s">
        <v>29</v>
      </c>
      <c r="E300" t="str">
        <f t="shared" si="9"/>
        <v>Female</v>
      </c>
      <c r="F300" s="2">
        <v>90000</v>
      </c>
      <c r="G300">
        <v>4</v>
      </c>
      <c r="H300" t="s">
        <v>24</v>
      </c>
      <c r="I300" t="s">
        <v>18</v>
      </c>
      <c r="J300" t="s">
        <v>15</v>
      </c>
      <c r="K300">
        <v>2</v>
      </c>
      <c r="L300" t="s">
        <v>19</v>
      </c>
      <c r="M300" t="s">
        <v>14</v>
      </c>
      <c r="N300" s="2">
        <v>54</v>
      </c>
      <c r="O300" t="str" cm="1">
        <f t="array" ref="O300">_xlfn.IFS(
  AND(BikePurchase[[#This Row],[Age]]&gt;=18, BikePurchase[[#This Row],[Age]]&lt;=30), "Adolescent",
  AND(BikePurchase[[#This Row],[Age]]&gt;30, BikePurchase[[#This Row],[Age]]&lt;55), "Middle Aged",
  AND(BikePurchase[[#This Row],[Age]]&gt;=55, BikePurchase[[#This Row],[Age]]&lt;90), "Old",
  TRUE, "Invalid"
)</f>
        <v>Middle Aged</v>
      </c>
      <c r="P300" t="s">
        <v>13</v>
      </c>
      <c r="Q300" t="str">
        <f>IF(BikePurchase[[#This Row],[Purchased BikeX]]="No","Not Purchased","Purchased")</f>
        <v>Purchased</v>
      </c>
    </row>
    <row r="301" spans="1:17" x14ac:dyDescent="0.3">
      <c r="A301">
        <v>13136</v>
      </c>
      <c r="B301" t="s">
        <v>30</v>
      </c>
      <c r="C301" t="str">
        <f t="shared" si="8"/>
        <v>Married</v>
      </c>
      <c r="D301" t="s">
        <v>29</v>
      </c>
      <c r="E301" t="str">
        <f t="shared" si="9"/>
        <v>Female</v>
      </c>
      <c r="F301" s="2">
        <v>30000</v>
      </c>
      <c r="G301">
        <v>2</v>
      </c>
      <c r="H301" t="s">
        <v>16</v>
      </c>
      <c r="I301" t="s">
        <v>17</v>
      </c>
      <c r="J301" t="s">
        <v>15</v>
      </c>
      <c r="K301">
        <v>2</v>
      </c>
      <c r="L301" t="s">
        <v>20</v>
      </c>
      <c r="M301" t="s">
        <v>21</v>
      </c>
      <c r="N301" s="2">
        <v>69</v>
      </c>
      <c r="O301" t="str" cm="1">
        <f t="array" ref="O301">_xlfn.IFS(
  AND(BikePurchase[[#This Row],[Age]]&gt;=18, BikePurchase[[#This Row],[Age]]&lt;=30), "Adolescent",
  AND(BikePurchase[[#This Row],[Age]]&gt;30, BikePurchase[[#This Row],[Age]]&lt;55), "Middle Aged",
  AND(BikePurchase[[#This Row],[Age]]&gt;=55, BikePurchase[[#This Row],[Age]]&lt;90), "Old",
  TRUE, "Invalid"
)</f>
        <v>Old</v>
      </c>
      <c r="P301" t="s">
        <v>15</v>
      </c>
      <c r="Q301" t="str">
        <f>IF(BikePurchase[[#This Row],[Purchased BikeX]]="No","Not Purchased","Purchased")</f>
        <v>Not Purchased</v>
      </c>
    </row>
    <row r="302" spans="1:17" x14ac:dyDescent="0.3">
      <c r="A302">
        <v>25906</v>
      </c>
      <c r="B302" t="s">
        <v>31</v>
      </c>
      <c r="C302" t="str">
        <f t="shared" si="8"/>
        <v>Single</v>
      </c>
      <c r="D302" t="s">
        <v>29</v>
      </c>
      <c r="E302" t="str">
        <f t="shared" si="9"/>
        <v>Female</v>
      </c>
      <c r="F302" s="2">
        <v>10000</v>
      </c>
      <c r="G302">
        <v>5</v>
      </c>
      <c r="H302" t="s">
        <v>24</v>
      </c>
      <c r="I302" t="s">
        <v>12</v>
      </c>
      <c r="J302" t="s">
        <v>15</v>
      </c>
      <c r="K302">
        <v>2</v>
      </c>
      <c r="L302" t="s">
        <v>23</v>
      </c>
      <c r="M302" t="s">
        <v>21</v>
      </c>
      <c r="N302" s="2">
        <v>62</v>
      </c>
      <c r="O302" t="str" cm="1">
        <f t="array" ref="O302">_xlfn.IFS(
  AND(BikePurchase[[#This Row],[Age]]&gt;=18, BikePurchase[[#This Row],[Age]]&lt;=30), "Adolescent",
  AND(BikePurchase[[#This Row],[Age]]&gt;30, BikePurchase[[#This Row],[Age]]&lt;55), "Middle Aged",
  AND(BikePurchase[[#This Row],[Age]]&gt;=55, BikePurchase[[#This Row],[Age]]&lt;90), "Old",
  TRUE, "Invalid"
)</f>
        <v>Old</v>
      </c>
      <c r="P302" t="s">
        <v>15</v>
      </c>
      <c r="Q302" t="str">
        <f>IF(BikePurchase[[#This Row],[Purchased BikeX]]="No","Not Purchased","Purchased")</f>
        <v>Not Purchased</v>
      </c>
    </row>
    <row r="303" spans="1:17" x14ac:dyDescent="0.3">
      <c r="A303">
        <v>17926</v>
      </c>
      <c r="B303" t="s">
        <v>31</v>
      </c>
      <c r="C303" t="str">
        <f t="shared" si="8"/>
        <v>Single</v>
      </c>
      <c r="D303" t="s">
        <v>29</v>
      </c>
      <c r="E303" t="str">
        <f t="shared" si="9"/>
        <v>Female</v>
      </c>
      <c r="F303" s="2">
        <v>40000</v>
      </c>
      <c r="G303">
        <v>0</v>
      </c>
      <c r="H303" t="s">
        <v>11</v>
      </c>
      <c r="I303" t="s">
        <v>17</v>
      </c>
      <c r="J303" t="s">
        <v>15</v>
      </c>
      <c r="K303">
        <v>0</v>
      </c>
      <c r="L303" t="s">
        <v>35</v>
      </c>
      <c r="M303" t="s">
        <v>21</v>
      </c>
      <c r="N303" s="2">
        <v>28</v>
      </c>
      <c r="O303" t="str" cm="1">
        <f t="array" ref="O303">_xlfn.IFS(
  AND(BikePurchase[[#This Row],[Age]]&gt;=18, BikePurchase[[#This Row],[Age]]&lt;=30), "Adolescent",
  AND(BikePurchase[[#This Row],[Age]]&gt;30, BikePurchase[[#This Row],[Age]]&lt;55), "Middle Aged",
  AND(BikePurchase[[#This Row],[Age]]&gt;=55, BikePurchase[[#This Row],[Age]]&lt;90), "Old",
  TRUE, "Invalid"
)</f>
        <v>Adolescent</v>
      </c>
      <c r="P303" t="s">
        <v>13</v>
      </c>
      <c r="Q303" t="str">
        <f>IF(BikePurchase[[#This Row],[Purchased BikeX]]="No","Not Purchased","Purchased")</f>
        <v>Purchased</v>
      </c>
    </row>
    <row r="304" spans="1:17" x14ac:dyDescent="0.3">
      <c r="A304">
        <v>26928</v>
      </c>
      <c r="B304" t="s">
        <v>31</v>
      </c>
      <c r="C304" t="str">
        <f t="shared" si="8"/>
        <v>Single</v>
      </c>
      <c r="D304" t="s">
        <v>30</v>
      </c>
      <c r="E304" t="str">
        <f t="shared" si="9"/>
        <v>Male</v>
      </c>
      <c r="F304" s="2">
        <v>30000</v>
      </c>
      <c r="G304">
        <v>1</v>
      </c>
      <c r="H304" t="s">
        <v>11</v>
      </c>
      <c r="I304" t="s">
        <v>17</v>
      </c>
      <c r="J304" t="s">
        <v>13</v>
      </c>
      <c r="K304">
        <v>0</v>
      </c>
      <c r="L304" t="s">
        <v>35</v>
      </c>
      <c r="M304" t="s">
        <v>14</v>
      </c>
      <c r="N304" s="2">
        <v>62</v>
      </c>
      <c r="O304" t="str" cm="1">
        <f t="array" ref="O304">_xlfn.IFS(
  AND(BikePurchase[[#This Row],[Age]]&gt;=18, BikePurchase[[#This Row],[Age]]&lt;=30), "Adolescent",
  AND(BikePurchase[[#This Row],[Age]]&gt;30, BikePurchase[[#This Row],[Age]]&lt;55), "Middle Aged",
  AND(BikePurchase[[#This Row],[Age]]&gt;=55, BikePurchase[[#This Row],[Age]]&lt;90), "Old",
  TRUE, "Invalid"
)</f>
        <v>Old</v>
      </c>
      <c r="P304" t="s">
        <v>13</v>
      </c>
      <c r="Q304" t="str">
        <f>IF(BikePurchase[[#This Row],[Purchased BikeX]]="No","Not Purchased","Purchased")</f>
        <v>Purchased</v>
      </c>
    </row>
    <row r="305" spans="1:17" x14ac:dyDescent="0.3">
      <c r="A305">
        <v>20897</v>
      </c>
      <c r="B305" t="s">
        <v>30</v>
      </c>
      <c r="C305" t="str">
        <f t="shared" si="8"/>
        <v>Married</v>
      </c>
      <c r="D305" t="s">
        <v>29</v>
      </c>
      <c r="E305" t="str">
        <f t="shared" si="9"/>
        <v>Female</v>
      </c>
      <c r="F305" s="2">
        <v>30000</v>
      </c>
      <c r="G305">
        <v>1</v>
      </c>
      <c r="H305" t="s">
        <v>11</v>
      </c>
      <c r="I305" t="s">
        <v>12</v>
      </c>
      <c r="J305" t="s">
        <v>13</v>
      </c>
      <c r="K305">
        <v>2</v>
      </c>
      <c r="L305" t="s">
        <v>35</v>
      </c>
      <c r="M305" t="s">
        <v>14</v>
      </c>
      <c r="N305" s="2">
        <v>40</v>
      </c>
      <c r="O305" t="str" cm="1">
        <f t="array" ref="O305">_xlfn.IFS(
  AND(BikePurchase[[#This Row],[Age]]&gt;=18, BikePurchase[[#This Row],[Age]]&lt;=30), "Adolescent",
  AND(BikePurchase[[#This Row],[Age]]&gt;30, BikePurchase[[#This Row],[Age]]&lt;55), "Middle Aged",
  AND(BikePurchase[[#This Row],[Age]]&gt;=55, BikePurchase[[#This Row],[Age]]&lt;90), "Old",
  TRUE, "Invalid"
)</f>
        <v>Middle Aged</v>
      </c>
      <c r="P305" t="s">
        <v>15</v>
      </c>
      <c r="Q305" t="str">
        <f>IF(BikePurchase[[#This Row],[Purchased BikeX]]="No","Not Purchased","Purchased")</f>
        <v>Not Purchased</v>
      </c>
    </row>
    <row r="306" spans="1:17" x14ac:dyDescent="0.3">
      <c r="A306">
        <v>28207</v>
      </c>
      <c r="B306" t="s">
        <v>30</v>
      </c>
      <c r="C306" t="str">
        <f t="shared" si="8"/>
        <v>Married</v>
      </c>
      <c r="D306" t="s">
        <v>30</v>
      </c>
      <c r="E306" t="str">
        <f t="shared" si="9"/>
        <v>Male</v>
      </c>
      <c r="F306" s="2">
        <v>80000</v>
      </c>
      <c r="G306">
        <v>4</v>
      </c>
      <c r="H306" t="s">
        <v>27</v>
      </c>
      <c r="I306" t="s">
        <v>25</v>
      </c>
      <c r="J306" t="s">
        <v>13</v>
      </c>
      <c r="K306">
        <v>1</v>
      </c>
      <c r="L306" t="s">
        <v>35</v>
      </c>
      <c r="M306" t="s">
        <v>21</v>
      </c>
      <c r="N306" s="2">
        <v>36</v>
      </c>
      <c r="O306" t="str" cm="1">
        <f t="array" ref="O306">_xlfn.IFS(
  AND(BikePurchase[[#This Row],[Age]]&gt;=18, BikePurchase[[#This Row],[Age]]&lt;=30), "Adolescent",
  AND(BikePurchase[[#This Row],[Age]]&gt;30, BikePurchase[[#This Row],[Age]]&lt;55), "Middle Aged",
  AND(BikePurchase[[#This Row],[Age]]&gt;=55, BikePurchase[[#This Row],[Age]]&lt;90), "Old",
  TRUE, "Invalid"
)</f>
        <v>Middle Aged</v>
      </c>
      <c r="P306" t="s">
        <v>13</v>
      </c>
      <c r="Q306" t="str">
        <f>IF(BikePurchase[[#This Row],[Purchased BikeX]]="No","Not Purchased","Purchased")</f>
        <v>Purchased</v>
      </c>
    </row>
    <row r="307" spans="1:17" x14ac:dyDescent="0.3">
      <c r="A307">
        <v>25923</v>
      </c>
      <c r="B307" t="s">
        <v>31</v>
      </c>
      <c r="C307" t="str">
        <f t="shared" si="8"/>
        <v>Single</v>
      </c>
      <c r="D307" t="s">
        <v>30</v>
      </c>
      <c r="E307" t="str">
        <f t="shared" si="9"/>
        <v>Male</v>
      </c>
      <c r="F307" s="2">
        <v>10000</v>
      </c>
      <c r="G307">
        <v>2</v>
      </c>
      <c r="H307" t="s">
        <v>26</v>
      </c>
      <c r="I307" t="s">
        <v>17</v>
      </c>
      <c r="J307" t="s">
        <v>13</v>
      </c>
      <c r="K307">
        <v>2</v>
      </c>
      <c r="L307" t="s">
        <v>20</v>
      </c>
      <c r="M307" t="s">
        <v>21</v>
      </c>
      <c r="N307" s="2">
        <v>58</v>
      </c>
      <c r="O307" t="str" cm="1">
        <f t="array" ref="O307">_xlfn.IFS(
  AND(BikePurchase[[#This Row],[Age]]&gt;=18, BikePurchase[[#This Row],[Age]]&lt;=30), "Adolescent",
  AND(BikePurchase[[#This Row],[Age]]&gt;30, BikePurchase[[#This Row],[Age]]&lt;55), "Middle Aged",
  AND(BikePurchase[[#This Row],[Age]]&gt;=55, BikePurchase[[#This Row],[Age]]&lt;90), "Old",
  TRUE, "Invalid"
)</f>
        <v>Old</v>
      </c>
      <c r="P307" t="s">
        <v>15</v>
      </c>
      <c r="Q307" t="str">
        <f>IF(BikePurchase[[#This Row],[Purchased BikeX]]="No","Not Purchased","Purchased")</f>
        <v>Not Purchased</v>
      </c>
    </row>
    <row r="308" spans="1:17" x14ac:dyDescent="0.3">
      <c r="A308">
        <v>11000</v>
      </c>
      <c r="B308" t="s">
        <v>30</v>
      </c>
      <c r="C308" t="str">
        <f t="shared" si="8"/>
        <v>Married</v>
      </c>
      <c r="D308" t="s">
        <v>30</v>
      </c>
      <c r="E308" t="str">
        <f t="shared" si="9"/>
        <v>Male</v>
      </c>
      <c r="F308" s="2">
        <v>90000</v>
      </c>
      <c r="G308">
        <v>2</v>
      </c>
      <c r="H308" t="s">
        <v>11</v>
      </c>
      <c r="I308" t="s">
        <v>18</v>
      </c>
      <c r="J308" t="s">
        <v>13</v>
      </c>
      <c r="K308">
        <v>0</v>
      </c>
      <c r="L308" t="s">
        <v>23</v>
      </c>
      <c r="M308" t="s">
        <v>21</v>
      </c>
      <c r="N308" s="2">
        <v>40</v>
      </c>
      <c r="O308" t="str" cm="1">
        <f t="array" ref="O308">_xlfn.IFS(
  AND(BikePurchase[[#This Row],[Age]]&gt;=18, BikePurchase[[#This Row],[Age]]&lt;=30), "Adolescent",
  AND(BikePurchase[[#This Row],[Age]]&gt;30, BikePurchase[[#This Row],[Age]]&lt;55), "Middle Aged",
  AND(BikePurchase[[#This Row],[Age]]&gt;=55, BikePurchase[[#This Row],[Age]]&lt;90), "Old",
  TRUE, "Invalid"
)</f>
        <v>Middle Aged</v>
      </c>
      <c r="P308" t="s">
        <v>13</v>
      </c>
      <c r="Q308" t="str">
        <f>IF(BikePurchase[[#This Row],[Purchased BikeX]]="No","Not Purchased","Purchased")</f>
        <v>Purchased</v>
      </c>
    </row>
    <row r="309" spans="1:17" x14ac:dyDescent="0.3">
      <c r="A309">
        <v>20974</v>
      </c>
      <c r="B309" t="s">
        <v>30</v>
      </c>
      <c r="C309" t="str">
        <f t="shared" si="8"/>
        <v>Married</v>
      </c>
      <c r="D309" t="s">
        <v>30</v>
      </c>
      <c r="E309" t="str">
        <f t="shared" si="9"/>
        <v>Male</v>
      </c>
      <c r="F309" s="2">
        <v>10000</v>
      </c>
      <c r="G309">
        <v>2</v>
      </c>
      <c r="H309" t="s">
        <v>11</v>
      </c>
      <c r="I309" t="s">
        <v>17</v>
      </c>
      <c r="J309" t="s">
        <v>13</v>
      </c>
      <c r="K309">
        <v>1</v>
      </c>
      <c r="L309" t="s">
        <v>35</v>
      </c>
      <c r="M309" t="s">
        <v>14</v>
      </c>
      <c r="N309" s="2">
        <v>66</v>
      </c>
      <c r="O309" t="str" cm="1">
        <f t="array" ref="O309">_xlfn.IFS(
  AND(BikePurchase[[#This Row],[Age]]&gt;=18, BikePurchase[[#This Row],[Age]]&lt;=30), "Adolescent",
  AND(BikePurchase[[#This Row],[Age]]&gt;30, BikePurchase[[#This Row],[Age]]&lt;55), "Middle Aged",
  AND(BikePurchase[[#This Row],[Age]]&gt;=55, BikePurchase[[#This Row],[Age]]&lt;90), "Old",
  TRUE, "Invalid"
)</f>
        <v>Old</v>
      </c>
      <c r="P309" t="s">
        <v>15</v>
      </c>
      <c r="Q309" t="str">
        <f>IF(BikePurchase[[#This Row],[Purchased BikeX]]="No","Not Purchased","Purchased")</f>
        <v>Not Purchased</v>
      </c>
    </row>
    <row r="310" spans="1:17" x14ac:dyDescent="0.3">
      <c r="A310">
        <v>28758</v>
      </c>
      <c r="B310" t="s">
        <v>30</v>
      </c>
      <c r="C310" t="str">
        <f t="shared" si="8"/>
        <v>Married</v>
      </c>
      <c r="D310" t="s">
        <v>30</v>
      </c>
      <c r="E310" t="str">
        <f t="shared" si="9"/>
        <v>Male</v>
      </c>
      <c r="F310" s="2">
        <v>40000</v>
      </c>
      <c r="G310">
        <v>2</v>
      </c>
      <c r="H310" t="s">
        <v>16</v>
      </c>
      <c r="I310" t="s">
        <v>17</v>
      </c>
      <c r="J310" t="s">
        <v>13</v>
      </c>
      <c r="K310">
        <v>1</v>
      </c>
      <c r="L310" t="s">
        <v>23</v>
      </c>
      <c r="M310" t="s">
        <v>14</v>
      </c>
      <c r="N310" s="2">
        <v>35</v>
      </c>
      <c r="O310" t="str" cm="1">
        <f t="array" ref="O310">_xlfn.IFS(
  AND(BikePurchase[[#This Row],[Age]]&gt;=18, BikePurchase[[#This Row],[Age]]&lt;=30), "Adolescent",
  AND(BikePurchase[[#This Row],[Age]]&gt;30, BikePurchase[[#This Row],[Age]]&lt;55), "Middle Aged",
  AND(BikePurchase[[#This Row],[Age]]&gt;=55, BikePurchase[[#This Row],[Age]]&lt;90), "Old",
  TRUE, "Invalid"
)</f>
        <v>Middle Aged</v>
      </c>
      <c r="P310" t="s">
        <v>13</v>
      </c>
      <c r="Q310" t="str">
        <f>IF(BikePurchase[[#This Row],[Purchased BikeX]]="No","Not Purchased","Purchased")</f>
        <v>Purchased</v>
      </c>
    </row>
    <row r="311" spans="1:17" x14ac:dyDescent="0.3">
      <c r="A311">
        <v>11381</v>
      </c>
      <c r="B311" t="s">
        <v>30</v>
      </c>
      <c r="C311" t="str">
        <f t="shared" si="8"/>
        <v>Married</v>
      </c>
      <c r="D311" t="s">
        <v>29</v>
      </c>
      <c r="E311" t="str">
        <f t="shared" si="9"/>
        <v>Female</v>
      </c>
      <c r="F311" s="2">
        <v>20000</v>
      </c>
      <c r="G311">
        <v>2</v>
      </c>
      <c r="H311" t="s">
        <v>16</v>
      </c>
      <c r="I311" t="s">
        <v>22</v>
      </c>
      <c r="J311" t="s">
        <v>13</v>
      </c>
      <c r="K311">
        <v>1</v>
      </c>
      <c r="L311" t="s">
        <v>19</v>
      </c>
      <c r="M311" t="s">
        <v>14</v>
      </c>
      <c r="N311" s="2">
        <v>47</v>
      </c>
      <c r="O311" t="str" cm="1">
        <f t="array" ref="O311">_xlfn.IFS(
  AND(BikePurchase[[#This Row],[Age]]&gt;=18, BikePurchase[[#This Row],[Age]]&lt;=30), "Adolescent",
  AND(BikePurchase[[#This Row],[Age]]&gt;30, BikePurchase[[#This Row],[Age]]&lt;55), "Middle Aged",
  AND(BikePurchase[[#This Row],[Age]]&gt;=55, BikePurchase[[#This Row],[Age]]&lt;90), "Old",
  TRUE, "Invalid"
)</f>
        <v>Middle Aged</v>
      </c>
      <c r="P311" t="s">
        <v>13</v>
      </c>
      <c r="Q311" t="str">
        <f>IF(BikePurchase[[#This Row],[Purchased BikeX]]="No","Not Purchased","Purchased")</f>
        <v>Purchased</v>
      </c>
    </row>
    <row r="312" spans="1:17" x14ac:dyDescent="0.3">
      <c r="A312">
        <v>17522</v>
      </c>
      <c r="B312" t="s">
        <v>30</v>
      </c>
      <c r="C312" t="str">
        <f t="shared" si="8"/>
        <v>Married</v>
      </c>
      <c r="D312" t="s">
        <v>30</v>
      </c>
      <c r="E312" t="str">
        <f t="shared" si="9"/>
        <v>Male</v>
      </c>
      <c r="F312" s="2">
        <v>120000</v>
      </c>
      <c r="G312">
        <v>4</v>
      </c>
      <c r="H312" t="s">
        <v>11</v>
      </c>
      <c r="I312" t="s">
        <v>25</v>
      </c>
      <c r="J312" t="s">
        <v>13</v>
      </c>
      <c r="K312">
        <v>1</v>
      </c>
      <c r="L312" t="s">
        <v>19</v>
      </c>
      <c r="M312" t="s">
        <v>21</v>
      </c>
      <c r="N312" s="2">
        <v>47</v>
      </c>
      <c r="O312" t="str" cm="1">
        <f t="array" ref="O312">_xlfn.IFS(
  AND(BikePurchase[[#This Row],[Age]]&gt;=18, BikePurchase[[#This Row],[Age]]&lt;=30), "Adolescent",
  AND(BikePurchase[[#This Row],[Age]]&gt;30, BikePurchase[[#This Row],[Age]]&lt;55), "Middle Aged",
  AND(BikePurchase[[#This Row],[Age]]&gt;=55, BikePurchase[[#This Row],[Age]]&lt;90), "Old",
  TRUE, "Invalid"
)</f>
        <v>Middle Aged</v>
      </c>
      <c r="P312" t="s">
        <v>15</v>
      </c>
      <c r="Q312" t="str">
        <f>IF(BikePurchase[[#This Row],[Purchased BikeX]]="No","Not Purchased","Purchased")</f>
        <v>Not Purchased</v>
      </c>
    </row>
    <row r="313" spans="1:17" x14ac:dyDescent="0.3">
      <c r="A313">
        <v>21207</v>
      </c>
      <c r="B313" t="s">
        <v>30</v>
      </c>
      <c r="C313" t="str">
        <f t="shared" si="8"/>
        <v>Married</v>
      </c>
      <c r="D313" t="s">
        <v>30</v>
      </c>
      <c r="E313" t="str">
        <f t="shared" si="9"/>
        <v>Male</v>
      </c>
      <c r="F313" s="2">
        <v>60000</v>
      </c>
      <c r="G313">
        <v>1</v>
      </c>
      <c r="H313" t="s">
        <v>16</v>
      </c>
      <c r="I313" t="s">
        <v>12</v>
      </c>
      <c r="J313" t="s">
        <v>13</v>
      </c>
      <c r="K313">
        <v>1</v>
      </c>
      <c r="L313" t="s">
        <v>20</v>
      </c>
      <c r="M313" t="s">
        <v>21</v>
      </c>
      <c r="N313" s="2">
        <v>46</v>
      </c>
      <c r="O313" t="str" cm="1">
        <f t="array" ref="O313">_xlfn.IFS(
  AND(BikePurchase[[#This Row],[Age]]&gt;=18, BikePurchase[[#This Row],[Age]]&lt;=30), "Adolescent",
  AND(BikePurchase[[#This Row],[Age]]&gt;30, BikePurchase[[#This Row],[Age]]&lt;55), "Middle Aged",
  AND(BikePurchase[[#This Row],[Age]]&gt;=55, BikePurchase[[#This Row],[Age]]&lt;90), "Old",
  TRUE, "Invalid"
)</f>
        <v>Middle Aged</v>
      </c>
      <c r="P313" t="s">
        <v>15</v>
      </c>
      <c r="Q313" t="str">
        <f>IF(BikePurchase[[#This Row],[Purchased BikeX]]="No","Not Purchased","Purchased")</f>
        <v>Not Purchased</v>
      </c>
    </row>
    <row r="314" spans="1:17" x14ac:dyDescent="0.3">
      <c r="A314">
        <v>28102</v>
      </c>
      <c r="B314" t="s">
        <v>30</v>
      </c>
      <c r="C314" t="str">
        <f t="shared" si="8"/>
        <v>Married</v>
      </c>
      <c r="D314" t="s">
        <v>30</v>
      </c>
      <c r="E314" t="str">
        <f t="shared" si="9"/>
        <v>Male</v>
      </c>
      <c r="F314" s="2">
        <v>20000</v>
      </c>
      <c r="G314">
        <v>4</v>
      </c>
      <c r="H314" t="s">
        <v>24</v>
      </c>
      <c r="I314" t="s">
        <v>12</v>
      </c>
      <c r="J314" t="s">
        <v>13</v>
      </c>
      <c r="K314">
        <v>2</v>
      </c>
      <c r="L314" t="s">
        <v>20</v>
      </c>
      <c r="M314" t="s">
        <v>21</v>
      </c>
      <c r="N314" s="2">
        <v>58</v>
      </c>
      <c r="O314" t="str" cm="1">
        <f t="array" ref="O314">_xlfn.IFS(
  AND(BikePurchase[[#This Row],[Age]]&gt;=18, BikePurchase[[#This Row],[Age]]&lt;=30), "Adolescent",
  AND(BikePurchase[[#This Row],[Age]]&gt;30, BikePurchase[[#This Row],[Age]]&lt;55), "Middle Aged",
  AND(BikePurchase[[#This Row],[Age]]&gt;=55, BikePurchase[[#This Row],[Age]]&lt;90), "Old",
  TRUE, "Invalid"
)</f>
        <v>Old</v>
      </c>
      <c r="P314" t="s">
        <v>13</v>
      </c>
      <c r="Q314" t="str">
        <f>IF(BikePurchase[[#This Row],[Purchased BikeX]]="No","Not Purchased","Purchased")</f>
        <v>Purchased</v>
      </c>
    </row>
    <row r="315" spans="1:17" x14ac:dyDescent="0.3">
      <c r="A315">
        <v>23105</v>
      </c>
      <c r="B315" t="s">
        <v>31</v>
      </c>
      <c r="C315" t="str">
        <f t="shared" si="8"/>
        <v>Single</v>
      </c>
      <c r="D315" t="s">
        <v>30</v>
      </c>
      <c r="E315" t="str">
        <f t="shared" si="9"/>
        <v>Male</v>
      </c>
      <c r="F315" s="2">
        <v>40000</v>
      </c>
      <c r="G315">
        <v>3</v>
      </c>
      <c r="H315" t="s">
        <v>26</v>
      </c>
      <c r="I315" t="s">
        <v>17</v>
      </c>
      <c r="J315" t="s">
        <v>15</v>
      </c>
      <c r="K315">
        <v>2</v>
      </c>
      <c r="L315" t="s">
        <v>20</v>
      </c>
      <c r="M315" t="s">
        <v>21</v>
      </c>
      <c r="N315" s="2">
        <v>52</v>
      </c>
      <c r="O315" t="str" cm="1">
        <f t="array" ref="O315">_xlfn.IFS(
  AND(BikePurchase[[#This Row],[Age]]&gt;=18, BikePurchase[[#This Row],[Age]]&lt;=30), "Adolescent",
  AND(BikePurchase[[#This Row],[Age]]&gt;30, BikePurchase[[#This Row],[Age]]&lt;55), "Middle Aged",
  AND(BikePurchase[[#This Row],[Age]]&gt;=55, BikePurchase[[#This Row],[Age]]&lt;90), "Old",
  TRUE, "Invalid"
)</f>
        <v>Middle Aged</v>
      </c>
      <c r="P315" t="s">
        <v>13</v>
      </c>
      <c r="Q315" t="str">
        <f>IF(BikePurchase[[#This Row],[Purchased BikeX]]="No","Not Purchased","Purchased")</f>
        <v>Purchased</v>
      </c>
    </row>
    <row r="316" spans="1:17" x14ac:dyDescent="0.3">
      <c r="A316">
        <v>18740</v>
      </c>
      <c r="B316" t="s">
        <v>30</v>
      </c>
      <c r="C316" t="str">
        <f t="shared" si="8"/>
        <v>Married</v>
      </c>
      <c r="D316" t="s">
        <v>30</v>
      </c>
      <c r="E316" t="str">
        <f t="shared" si="9"/>
        <v>Male</v>
      </c>
      <c r="F316" s="2">
        <v>80000</v>
      </c>
      <c r="G316">
        <v>5</v>
      </c>
      <c r="H316" t="s">
        <v>11</v>
      </c>
      <c r="I316" t="s">
        <v>18</v>
      </c>
      <c r="J316" t="s">
        <v>15</v>
      </c>
      <c r="K316">
        <v>1</v>
      </c>
      <c r="L316" t="s">
        <v>35</v>
      </c>
      <c r="M316" t="s">
        <v>21</v>
      </c>
      <c r="N316" s="2">
        <v>47</v>
      </c>
      <c r="O316" t="str" cm="1">
        <f t="array" ref="O316">_xlfn.IFS(
  AND(BikePurchase[[#This Row],[Age]]&gt;=18, BikePurchase[[#This Row],[Age]]&lt;=30), "Adolescent",
  AND(BikePurchase[[#This Row],[Age]]&gt;30, BikePurchase[[#This Row],[Age]]&lt;55), "Middle Aged",
  AND(BikePurchase[[#This Row],[Age]]&gt;=55, BikePurchase[[#This Row],[Age]]&lt;90), "Old",
  TRUE, "Invalid"
)</f>
        <v>Middle Aged</v>
      </c>
      <c r="P316" t="s">
        <v>13</v>
      </c>
      <c r="Q316" t="str">
        <f>IF(BikePurchase[[#This Row],[Purchased BikeX]]="No","Not Purchased","Purchased")</f>
        <v>Purchased</v>
      </c>
    </row>
    <row r="317" spans="1:17" x14ac:dyDescent="0.3">
      <c r="A317">
        <v>21213</v>
      </c>
      <c r="B317" t="s">
        <v>31</v>
      </c>
      <c r="C317" t="str">
        <f t="shared" si="8"/>
        <v>Single</v>
      </c>
      <c r="D317" t="s">
        <v>30</v>
      </c>
      <c r="E317" t="str">
        <f t="shared" si="9"/>
        <v>Male</v>
      </c>
      <c r="F317" s="2">
        <v>70000</v>
      </c>
      <c r="G317">
        <v>0</v>
      </c>
      <c r="H317" t="s">
        <v>11</v>
      </c>
      <c r="I317" t="s">
        <v>18</v>
      </c>
      <c r="J317" t="s">
        <v>15</v>
      </c>
      <c r="K317">
        <v>1</v>
      </c>
      <c r="L317" t="s">
        <v>20</v>
      </c>
      <c r="M317" t="s">
        <v>21</v>
      </c>
      <c r="N317" s="2">
        <v>41</v>
      </c>
      <c r="O317" t="str" cm="1">
        <f t="array" ref="O317">_xlfn.IFS(
  AND(BikePurchase[[#This Row],[Age]]&gt;=18, BikePurchase[[#This Row],[Age]]&lt;=30), "Adolescent",
  AND(BikePurchase[[#This Row],[Age]]&gt;30, BikePurchase[[#This Row],[Age]]&lt;55), "Middle Aged",
  AND(BikePurchase[[#This Row],[Age]]&gt;=55, BikePurchase[[#This Row],[Age]]&lt;90), "Old",
  TRUE, "Invalid"
)</f>
        <v>Middle Aged</v>
      </c>
      <c r="P317" t="s">
        <v>15</v>
      </c>
      <c r="Q317" t="str">
        <f>IF(BikePurchase[[#This Row],[Purchased BikeX]]="No","Not Purchased","Purchased")</f>
        <v>Not Purchased</v>
      </c>
    </row>
    <row r="318" spans="1:17" x14ac:dyDescent="0.3">
      <c r="A318">
        <v>17352</v>
      </c>
      <c r="B318" t="s">
        <v>30</v>
      </c>
      <c r="C318" t="str">
        <f t="shared" si="8"/>
        <v>Married</v>
      </c>
      <c r="D318" t="s">
        <v>30</v>
      </c>
      <c r="E318" t="str">
        <f t="shared" si="9"/>
        <v>Male</v>
      </c>
      <c r="F318" s="2">
        <v>50000</v>
      </c>
      <c r="G318">
        <v>2</v>
      </c>
      <c r="H318" t="s">
        <v>27</v>
      </c>
      <c r="I318" t="s">
        <v>25</v>
      </c>
      <c r="J318" t="s">
        <v>13</v>
      </c>
      <c r="K318">
        <v>1</v>
      </c>
      <c r="L318" t="s">
        <v>20</v>
      </c>
      <c r="M318" t="s">
        <v>21</v>
      </c>
      <c r="N318" s="2">
        <v>64</v>
      </c>
      <c r="O318" t="str" cm="1">
        <f t="array" ref="O318">_xlfn.IFS(
  AND(BikePurchase[[#This Row],[Age]]&gt;=18, BikePurchase[[#This Row],[Age]]&lt;=30), "Adolescent",
  AND(BikePurchase[[#This Row],[Age]]&gt;30, BikePurchase[[#This Row],[Age]]&lt;55), "Middle Aged",
  AND(BikePurchase[[#This Row],[Age]]&gt;=55, BikePurchase[[#This Row],[Age]]&lt;90), "Old",
  TRUE, "Invalid"
)</f>
        <v>Old</v>
      </c>
      <c r="P318" t="s">
        <v>13</v>
      </c>
      <c r="Q318" t="str">
        <f>IF(BikePurchase[[#This Row],[Purchased BikeX]]="No","Not Purchased","Purchased")</f>
        <v>Purchased</v>
      </c>
    </row>
    <row r="319" spans="1:17" x14ac:dyDescent="0.3">
      <c r="A319">
        <v>14154</v>
      </c>
      <c r="B319" t="s">
        <v>30</v>
      </c>
      <c r="C319" t="str">
        <f t="shared" si="8"/>
        <v>Married</v>
      </c>
      <c r="D319" t="s">
        <v>30</v>
      </c>
      <c r="E319" t="str">
        <f t="shared" si="9"/>
        <v>Male</v>
      </c>
      <c r="F319" s="2">
        <v>30000</v>
      </c>
      <c r="G319">
        <v>0</v>
      </c>
      <c r="H319" t="s">
        <v>11</v>
      </c>
      <c r="I319" t="s">
        <v>17</v>
      </c>
      <c r="J319" t="s">
        <v>13</v>
      </c>
      <c r="K319">
        <v>0</v>
      </c>
      <c r="L319" t="s">
        <v>35</v>
      </c>
      <c r="M319" t="s">
        <v>14</v>
      </c>
      <c r="N319" s="2">
        <v>35</v>
      </c>
      <c r="O319" t="str" cm="1">
        <f t="array" ref="O319">_xlfn.IFS(
  AND(BikePurchase[[#This Row],[Age]]&gt;=18, BikePurchase[[#This Row],[Age]]&lt;=30), "Adolescent",
  AND(BikePurchase[[#This Row],[Age]]&gt;30, BikePurchase[[#This Row],[Age]]&lt;55), "Middle Aged",
  AND(BikePurchase[[#This Row],[Age]]&gt;=55, BikePurchase[[#This Row],[Age]]&lt;90), "Old",
  TRUE, "Invalid"
)</f>
        <v>Middle Aged</v>
      </c>
      <c r="P319" t="s">
        <v>13</v>
      </c>
      <c r="Q319" t="str">
        <f>IF(BikePurchase[[#This Row],[Purchased BikeX]]="No","Not Purchased","Purchased")</f>
        <v>Purchased</v>
      </c>
    </row>
    <row r="320" spans="1:17" x14ac:dyDescent="0.3">
      <c r="A320">
        <v>19066</v>
      </c>
      <c r="B320" t="s">
        <v>30</v>
      </c>
      <c r="C320" t="str">
        <f t="shared" si="8"/>
        <v>Married</v>
      </c>
      <c r="D320" t="s">
        <v>30</v>
      </c>
      <c r="E320" t="str">
        <f t="shared" si="9"/>
        <v>Male</v>
      </c>
      <c r="F320" s="2">
        <v>130000</v>
      </c>
      <c r="G320">
        <v>4</v>
      </c>
      <c r="H320" t="s">
        <v>16</v>
      </c>
      <c r="I320" t="s">
        <v>18</v>
      </c>
      <c r="J320" t="s">
        <v>15</v>
      </c>
      <c r="K320">
        <v>3</v>
      </c>
      <c r="L320" t="s">
        <v>48</v>
      </c>
      <c r="M320" t="s">
        <v>14</v>
      </c>
      <c r="N320" s="2">
        <v>54</v>
      </c>
      <c r="O320" t="str" cm="1">
        <f t="array" ref="O320">_xlfn.IFS(
  AND(BikePurchase[[#This Row],[Age]]&gt;=18, BikePurchase[[#This Row],[Age]]&lt;=30), "Adolescent",
  AND(BikePurchase[[#This Row],[Age]]&gt;30, BikePurchase[[#This Row],[Age]]&lt;55), "Middle Aged",
  AND(BikePurchase[[#This Row],[Age]]&gt;=55, BikePurchase[[#This Row],[Age]]&lt;90), "Old",
  TRUE, "Invalid"
)</f>
        <v>Middle Aged</v>
      </c>
      <c r="P320" t="s">
        <v>15</v>
      </c>
      <c r="Q320" t="str">
        <f>IF(BikePurchase[[#This Row],[Purchased BikeX]]="No","Not Purchased","Purchased")</f>
        <v>Not Purchased</v>
      </c>
    </row>
    <row r="321" spans="1:17" x14ac:dyDescent="0.3">
      <c r="A321">
        <v>11386</v>
      </c>
      <c r="B321" t="s">
        <v>30</v>
      </c>
      <c r="C321" t="str">
        <f t="shared" si="8"/>
        <v>Married</v>
      </c>
      <c r="D321" t="s">
        <v>29</v>
      </c>
      <c r="E321" t="str">
        <f t="shared" si="9"/>
        <v>Female</v>
      </c>
      <c r="F321" s="2">
        <v>30000</v>
      </c>
      <c r="G321">
        <v>3</v>
      </c>
      <c r="H321" t="s">
        <v>11</v>
      </c>
      <c r="I321" t="s">
        <v>17</v>
      </c>
      <c r="J321" t="s">
        <v>13</v>
      </c>
      <c r="K321">
        <v>0</v>
      </c>
      <c r="L321" t="s">
        <v>35</v>
      </c>
      <c r="M321" t="s">
        <v>14</v>
      </c>
      <c r="N321" s="2">
        <v>45</v>
      </c>
      <c r="O321" t="str" cm="1">
        <f t="array" ref="O321">_xlfn.IFS(
  AND(BikePurchase[[#This Row],[Age]]&gt;=18, BikePurchase[[#This Row],[Age]]&lt;=30), "Adolescent",
  AND(BikePurchase[[#This Row],[Age]]&gt;30, BikePurchase[[#This Row],[Age]]&lt;55), "Middle Aged",
  AND(BikePurchase[[#This Row],[Age]]&gt;=55, BikePurchase[[#This Row],[Age]]&lt;90), "Old",
  TRUE, "Invalid"
)</f>
        <v>Middle Aged</v>
      </c>
      <c r="P321" t="s">
        <v>15</v>
      </c>
      <c r="Q321" t="str">
        <f>IF(BikePurchase[[#This Row],[Purchased BikeX]]="No","Not Purchased","Purchased")</f>
        <v>Not Purchased</v>
      </c>
    </row>
    <row r="322" spans="1:17" x14ac:dyDescent="0.3">
      <c r="A322">
        <v>20228</v>
      </c>
      <c r="B322" t="s">
        <v>30</v>
      </c>
      <c r="C322" t="str">
        <f t="shared" ref="C322:C385" si="10">IF(B322="M","Married","Single")</f>
        <v>Married</v>
      </c>
      <c r="D322" t="s">
        <v>30</v>
      </c>
      <c r="E322" t="str">
        <f t="shared" ref="E322:E385" si="11">IF(D322="F","Female","Male")</f>
        <v>Male</v>
      </c>
      <c r="F322" s="2">
        <v>100000</v>
      </c>
      <c r="G322">
        <v>0</v>
      </c>
      <c r="H322" t="s">
        <v>27</v>
      </c>
      <c r="I322" t="s">
        <v>25</v>
      </c>
      <c r="J322" t="s">
        <v>13</v>
      </c>
      <c r="K322">
        <v>0</v>
      </c>
      <c r="L322" t="s">
        <v>19</v>
      </c>
      <c r="M322" t="s">
        <v>21</v>
      </c>
      <c r="N322" s="2">
        <v>40</v>
      </c>
      <c r="O322" t="str" cm="1">
        <f t="array" ref="O322">_xlfn.IFS(
  AND(BikePurchase[[#This Row],[Age]]&gt;=18, BikePurchase[[#This Row],[Age]]&lt;=30), "Adolescent",
  AND(BikePurchase[[#This Row],[Age]]&gt;30, BikePurchase[[#This Row],[Age]]&lt;55), "Middle Aged",
  AND(BikePurchase[[#This Row],[Age]]&gt;=55, BikePurchase[[#This Row],[Age]]&lt;90), "Old",
  TRUE, "Invalid"
)</f>
        <v>Middle Aged</v>
      </c>
      <c r="P322" t="s">
        <v>13</v>
      </c>
      <c r="Q322" t="str">
        <f>IF(BikePurchase[[#This Row],[Purchased BikeX]]="No","Not Purchased","Purchased")</f>
        <v>Purchased</v>
      </c>
    </row>
    <row r="323" spans="1:17" x14ac:dyDescent="0.3">
      <c r="A323">
        <v>16675</v>
      </c>
      <c r="B323" t="s">
        <v>31</v>
      </c>
      <c r="C323" t="str">
        <f t="shared" si="10"/>
        <v>Single</v>
      </c>
      <c r="D323" t="s">
        <v>29</v>
      </c>
      <c r="E323" t="str">
        <f t="shared" si="11"/>
        <v>Female</v>
      </c>
      <c r="F323" s="2">
        <v>160000</v>
      </c>
      <c r="G323">
        <v>0</v>
      </c>
      <c r="H323" t="s">
        <v>27</v>
      </c>
      <c r="I323" t="s">
        <v>25</v>
      </c>
      <c r="J323" t="s">
        <v>15</v>
      </c>
      <c r="K323">
        <v>3</v>
      </c>
      <c r="L323" t="s">
        <v>35</v>
      </c>
      <c r="M323" t="s">
        <v>21</v>
      </c>
      <c r="N323" s="2">
        <v>47</v>
      </c>
      <c r="O323" t="str" cm="1">
        <f t="array" ref="O323">_xlfn.IFS(
  AND(BikePurchase[[#This Row],[Age]]&gt;=18, BikePurchase[[#This Row],[Age]]&lt;=30), "Adolescent",
  AND(BikePurchase[[#This Row],[Age]]&gt;30, BikePurchase[[#This Row],[Age]]&lt;55), "Middle Aged",
  AND(BikePurchase[[#This Row],[Age]]&gt;=55, BikePurchase[[#This Row],[Age]]&lt;90), "Old",
  TRUE, "Invalid"
)</f>
        <v>Middle Aged</v>
      </c>
      <c r="P323" t="s">
        <v>13</v>
      </c>
      <c r="Q323" t="str">
        <f>IF(BikePurchase[[#This Row],[Purchased BikeX]]="No","Not Purchased","Purchased")</f>
        <v>Purchased</v>
      </c>
    </row>
    <row r="324" spans="1:17" x14ac:dyDescent="0.3">
      <c r="A324">
        <v>16410</v>
      </c>
      <c r="B324" t="s">
        <v>31</v>
      </c>
      <c r="C324" t="str">
        <f t="shared" si="10"/>
        <v>Single</v>
      </c>
      <c r="D324" t="s">
        <v>29</v>
      </c>
      <c r="E324" t="str">
        <f t="shared" si="11"/>
        <v>Female</v>
      </c>
      <c r="F324" s="2">
        <v>10000</v>
      </c>
      <c r="G324">
        <v>4</v>
      </c>
      <c r="H324" t="s">
        <v>26</v>
      </c>
      <c r="I324" t="s">
        <v>22</v>
      </c>
      <c r="J324" t="s">
        <v>13</v>
      </c>
      <c r="K324">
        <v>2</v>
      </c>
      <c r="L324" t="s">
        <v>35</v>
      </c>
      <c r="M324" t="s">
        <v>14</v>
      </c>
      <c r="N324" s="2">
        <v>41</v>
      </c>
      <c r="O324" t="str" cm="1">
        <f t="array" ref="O324">_xlfn.IFS(
  AND(BikePurchase[[#This Row],[Age]]&gt;=18, BikePurchase[[#This Row],[Age]]&lt;=30), "Adolescent",
  AND(BikePurchase[[#This Row],[Age]]&gt;30, BikePurchase[[#This Row],[Age]]&lt;55), "Middle Aged",
  AND(BikePurchase[[#This Row],[Age]]&gt;=55, BikePurchase[[#This Row],[Age]]&lt;90), "Old",
  TRUE, "Invalid"
)</f>
        <v>Middle Aged</v>
      </c>
      <c r="P324" t="s">
        <v>13</v>
      </c>
      <c r="Q324" t="str">
        <f>IF(BikePurchase[[#This Row],[Purchased BikeX]]="No","Not Purchased","Purchased")</f>
        <v>Purchased</v>
      </c>
    </row>
    <row r="325" spans="1:17" x14ac:dyDescent="0.3">
      <c r="A325">
        <v>27760</v>
      </c>
      <c r="B325" t="s">
        <v>31</v>
      </c>
      <c r="C325" t="str">
        <f t="shared" si="10"/>
        <v>Single</v>
      </c>
      <c r="D325" t="s">
        <v>29</v>
      </c>
      <c r="E325" t="str">
        <f t="shared" si="11"/>
        <v>Female</v>
      </c>
      <c r="F325" s="2">
        <v>40000</v>
      </c>
      <c r="G325">
        <v>0</v>
      </c>
      <c r="H325" t="s">
        <v>27</v>
      </c>
      <c r="I325" t="s">
        <v>17</v>
      </c>
      <c r="J325" t="s">
        <v>15</v>
      </c>
      <c r="K325">
        <v>0</v>
      </c>
      <c r="L325" t="s">
        <v>35</v>
      </c>
      <c r="M325" t="s">
        <v>14</v>
      </c>
      <c r="N325" s="2">
        <v>37</v>
      </c>
      <c r="O325" t="str" cm="1">
        <f t="array" ref="O325">_xlfn.IFS(
  AND(BikePurchase[[#This Row],[Age]]&gt;=18, BikePurchase[[#This Row],[Age]]&lt;=30), "Adolescent",
  AND(BikePurchase[[#This Row],[Age]]&gt;30, BikePurchase[[#This Row],[Age]]&lt;55), "Middle Aged",
  AND(BikePurchase[[#This Row],[Age]]&gt;=55, BikePurchase[[#This Row],[Age]]&lt;90), "Old",
  TRUE, "Invalid"
)</f>
        <v>Middle Aged</v>
      </c>
      <c r="P325" t="s">
        <v>13</v>
      </c>
      <c r="Q325" t="str">
        <f>IF(BikePurchase[[#This Row],[Purchased BikeX]]="No","Not Purchased","Purchased")</f>
        <v>Purchased</v>
      </c>
    </row>
    <row r="326" spans="1:17" x14ac:dyDescent="0.3">
      <c r="A326">
        <v>22930</v>
      </c>
      <c r="B326" t="s">
        <v>30</v>
      </c>
      <c r="C326" t="str">
        <f t="shared" si="10"/>
        <v>Married</v>
      </c>
      <c r="D326" t="s">
        <v>30</v>
      </c>
      <c r="E326" t="str">
        <f t="shared" si="11"/>
        <v>Male</v>
      </c>
      <c r="F326" s="2">
        <v>90000</v>
      </c>
      <c r="G326">
        <v>4</v>
      </c>
      <c r="H326" t="s">
        <v>11</v>
      </c>
      <c r="I326" t="s">
        <v>18</v>
      </c>
      <c r="J326" t="s">
        <v>13</v>
      </c>
      <c r="K326">
        <v>0</v>
      </c>
      <c r="L326" t="s">
        <v>23</v>
      </c>
      <c r="M326" t="s">
        <v>21</v>
      </c>
      <c r="N326" s="2">
        <v>38</v>
      </c>
      <c r="O326" t="str" cm="1">
        <f t="array" ref="O326">_xlfn.IFS(
  AND(BikePurchase[[#This Row],[Age]]&gt;=18, BikePurchase[[#This Row],[Age]]&lt;=30), "Adolescent",
  AND(BikePurchase[[#This Row],[Age]]&gt;30, BikePurchase[[#This Row],[Age]]&lt;55), "Middle Aged",
  AND(BikePurchase[[#This Row],[Age]]&gt;=55, BikePurchase[[#This Row],[Age]]&lt;90), "Old",
  TRUE, "Invalid"
)</f>
        <v>Middle Aged</v>
      </c>
      <c r="P326" t="s">
        <v>13</v>
      </c>
      <c r="Q326" t="str">
        <f>IF(BikePurchase[[#This Row],[Purchased BikeX]]="No","Not Purchased","Purchased")</f>
        <v>Purchased</v>
      </c>
    </row>
    <row r="327" spans="1:17" x14ac:dyDescent="0.3">
      <c r="A327">
        <v>23780</v>
      </c>
      <c r="B327" t="s">
        <v>31</v>
      </c>
      <c r="C327" t="str">
        <f t="shared" si="10"/>
        <v>Single</v>
      </c>
      <c r="D327" t="s">
        <v>30</v>
      </c>
      <c r="E327" t="str">
        <f t="shared" si="11"/>
        <v>Male</v>
      </c>
      <c r="F327" s="2">
        <v>40000</v>
      </c>
      <c r="G327">
        <v>2</v>
      </c>
      <c r="H327" t="s">
        <v>16</v>
      </c>
      <c r="I327" t="s">
        <v>17</v>
      </c>
      <c r="J327" t="s">
        <v>15</v>
      </c>
      <c r="K327">
        <v>2</v>
      </c>
      <c r="L327" t="s">
        <v>35</v>
      </c>
      <c r="M327" t="s">
        <v>14</v>
      </c>
      <c r="N327" s="2">
        <v>36</v>
      </c>
      <c r="O327" t="str" cm="1">
        <f t="array" ref="O327">_xlfn.IFS(
  AND(BikePurchase[[#This Row],[Age]]&gt;=18, BikePurchase[[#This Row],[Age]]&lt;=30), "Adolescent",
  AND(BikePurchase[[#This Row],[Age]]&gt;30, BikePurchase[[#This Row],[Age]]&lt;55), "Middle Aged",
  AND(BikePurchase[[#This Row],[Age]]&gt;=55, BikePurchase[[#This Row],[Age]]&lt;90), "Old",
  TRUE, "Invalid"
)</f>
        <v>Middle Aged</v>
      </c>
      <c r="P327" t="s">
        <v>13</v>
      </c>
      <c r="Q327" t="str">
        <f>IF(BikePurchase[[#This Row],[Purchased BikeX]]="No","Not Purchased","Purchased")</f>
        <v>Purchased</v>
      </c>
    </row>
    <row r="328" spans="1:17" x14ac:dyDescent="0.3">
      <c r="A328">
        <v>20994</v>
      </c>
      <c r="B328" t="s">
        <v>30</v>
      </c>
      <c r="C328" t="str">
        <f t="shared" si="10"/>
        <v>Married</v>
      </c>
      <c r="D328" t="s">
        <v>29</v>
      </c>
      <c r="E328" t="str">
        <f t="shared" si="11"/>
        <v>Female</v>
      </c>
      <c r="F328" s="2">
        <v>20000</v>
      </c>
      <c r="G328">
        <v>0</v>
      </c>
      <c r="H328" t="s">
        <v>11</v>
      </c>
      <c r="I328" t="s">
        <v>17</v>
      </c>
      <c r="J328" t="s">
        <v>15</v>
      </c>
      <c r="K328">
        <v>0</v>
      </c>
      <c r="L328" t="s">
        <v>35</v>
      </c>
      <c r="M328" t="s">
        <v>21</v>
      </c>
      <c r="N328" s="2">
        <v>26</v>
      </c>
      <c r="O328" t="str" cm="1">
        <f t="array" ref="O328">_xlfn.IFS(
  AND(BikePurchase[[#This Row],[Age]]&gt;=18, BikePurchase[[#This Row],[Age]]&lt;=30), "Adolescent",
  AND(BikePurchase[[#This Row],[Age]]&gt;30, BikePurchase[[#This Row],[Age]]&lt;55), "Middle Aged",
  AND(BikePurchase[[#This Row],[Age]]&gt;=55, BikePurchase[[#This Row],[Age]]&lt;90), "Old",
  TRUE, "Invalid"
)</f>
        <v>Adolescent</v>
      </c>
      <c r="P328" t="s">
        <v>13</v>
      </c>
      <c r="Q328" t="str">
        <f>IF(BikePurchase[[#This Row],[Purchased BikeX]]="No","Not Purchased","Purchased")</f>
        <v>Purchased</v>
      </c>
    </row>
    <row r="329" spans="1:17" x14ac:dyDescent="0.3">
      <c r="A329">
        <v>28379</v>
      </c>
      <c r="B329" t="s">
        <v>30</v>
      </c>
      <c r="C329" t="str">
        <f t="shared" si="10"/>
        <v>Married</v>
      </c>
      <c r="D329" t="s">
        <v>30</v>
      </c>
      <c r="E329" t="str">
        <f t="shared" si="11"/>
        <v>Male</v>
      </c>
      <c r="F329" s="2">
        <v>30000</v>
      </c>
      <c r="G329">
        <v>1</v>
      </c>
      <c r="H329" t="s">
        <v>11</v>
      </c>
      <c r="I329" t="s">
        <v>12</v>
      </c>
      <c r="J329" t="s">
        <v>13</v>
      </c>
      <c r="K329">
        <v>2</v>
      </c>
      <c r="L329" t="s">
        <v>35</v>
      </c>
      <c r="M329" t="s">
        <v>14</v>
      </c>
      <c r="N329" s="2">
        <v>40</v>
      </c>
      <c r="O329" t="str" cm="1">
        <f t="array" ref="O329">_xlfn.IFS(
  AND(BikePurchase[[#This Row],[Age]]&gt;=18, BikePurchase[[#This Row],[Age]]&lt;=30), "Adolescent",
  AND(BikePurchase[[#This Row],[Age]]&gt;30, BikePurchase[[#This Row],[Age]]&lt;55), "Middle Aged",
  AND(BikePurchase[[#This Row],[Age]]&gt;=55, BikePurchase[[#This Row],[Age]]&lt;90), "Old",
  TRUE, "Invalid"
)</f>
        <v>Middle Aged</v>
      </c>
      <c r="P329" t="s">
        <v>15</v>
      </c>
      <c r="Q329" t="str">
        <f>IF(BikePurchase[[#This Row],[Purchased BikeX]]="No","Not Purchased","Purchased")</f>
        <v>Not Purchased</v>
      </c>
    </row>
    <row r="330" spans="1:17" x14ac:dyDescent="0.3">
      <c r="A330">
        <v>14865</v>
      </c>
      <c r="B330" t="s">
        <v>31</v>
      </c>
      <c r="C330" t="str">
        <f t="shared" si="10"/>
        <v>Single</v>
      </c>
      <c r="D330" t="s">
        <v>30</v>
      </c>
      <c r="E330" t="str">
        <f t="shared" si="11"/>
        <v>Male</v>
      </c>
      <c r="F330" s="2">
        <v>40000</v>
      </c>
      <c r="G330">
        <v>2</v>
      </c>
      <c r="H330" t="s">
        <v>16</v>
      </c>
      <c r="I330" t="s">
        <v>17</v>
      </c>
      <c r="J330" t="s">
        <v>13</v>
      </c>
      <c r="K330">
        <v>2</v>
      </c>
      <c r="L330" t="s">
        <v>23</v>
      </c>
      <c r="M330" t="s">
        <v>14</v>
      </c>
      <c r="N330" s="2">
        <v>36</v>
      </c>
      <c r="O330" t="str" cm="1">
        <f t="array" ref="O330">_xlfn.IFS(
  AND(BikePurchase[[#This Row],[Age]]&gt;=18, BikePurchase[[#This Row],[Age]]&lt;=30), "Adolescent",
  AND(BikePurchase[[#This Row],[Age]]&gt;30, BikePurchase[[#This Row],[Age]]&lt;55), "Middle Aged",
  AND(BikePurchase[[#This Row],[Age]]&gt;=55, BikePurchase[[#This Row],[Age]]&lt;90), "Old",
  TRUE, "Invalid"
)</f>
        <v>Middle Aged</v>
      </c>
      <c r="P330" t="s">
        <v>15</v>
      </c>
      <c r="Q330" t="str">
        <f>IF(BikePurchase[[#This Row],[Purchased BikeX]]="No","Not Purchased","Purchased")</f>
        <v>Not Purchased</v>
      </c>
    </row>
    <row r="331" spans="1:17" x14ac:dyDescent="0.3">
      <c r="A331">
        <v>12663</v>
      </c>
      <c r="B331" t="s">
        <v>30</v>
      </c>
      <c r="C331" t="str">
        <f t="shared" si="10"/>
        <v>Married</v>
      </c>
      <c r="D331" t="s">
        <v>29</v>
      </c>
      <c r="E331" t="str">
        <f t="shared" si="11"/>
        <v>Female</v>
      </c>
      <c r="F331" s="2">
        <v>90000</v>
      </c>
      <c r="G331">
        <v>5</v>
      </c>
      <c r="H331" t="s">
        <v>26</v>
      </c>
      <c r="I331" t="s">
        <v>12</v>
      </c>
      <c r="J331" t="s">
        <v>13</v>
      </c>
      <c r="K331">
        <v>2</v>
      </c>
      <c r="L331" t="s">
        <v>48</v>
      </c>
      <c r="M331" t="s">
        <v>14</v>
      </c>
      <c r="N331" s="2">
        <v>59</v>
      </c>
      <c r="O331" t="str" cm="1">
        <f t="array" ref="O331">_xlfn.IFS(
  AND(BikePurchase[[#This Row],[Age]]&gt;=18, BikePurchase[[#This Row],[Age]]&lt;=30), "Adolescent",
  AND(BikePurchase[[#This Row],[Age]]&gt;30, BikePurchase[[#This Row],[Age]]&lt;55), "Middle Aged",
  AND(BikePurchase[[#This Row],[Age]]&gt;=55, BikePurchase[[#This Row],[Age]]&lt;90), "Old",
  TRUE, "Invalid"
)</f>
        <v>Old</v>
      </c>
      <c r="P331" t="s">
        <v>15</v>
      </c>
      <c r="Q331" t="str">
        <f>IF(BikePurchase[[#This Row],[Purchased BikeX]]="No","Not Purchased","Purchased")</f>
        <v>Not Purchased</v>
      </c>
    </row>
    <row r="332" spans="1:17" x14ac:dyDescent="0.3">
      <c r="A332">
        <v>24898</v>
      </c>
      <c r="B332" t="s">
        <v>31</v>
      </c>
      <c r="C332" t="str">
        <f t="shared" si="10"/>
        <v>Single</v>
      </c>
      <c r="D332" t="s">
        <v>29</v>
      </c>
      <c r="E332" t="str">
        <f t="shared" si="11"/>
        <v>Female</v>
      </c>
      <c r="F332" s="2">
        <v>80000</v>
      </c>
      <c r="G332">
        <v>0</v>
      </c>
      <c r="H332" t="s">
        <v>11</v>
      </c>
      <c r="I332" t="s">
        <v>18</v>
      </c>
      <c r="J332" t="s">
        <v>13</v>
      </c>
      <c r="K332">
        <v>3</v>
      </c>
      <c r="L332" t="s">
        <v>48</v>
      </c>
      <c r="M332" t="s">
        <v>21</v>
      </c>
      <c r="N332" s="2">
        <v>32</v>
      </c>
      <c r="O332" t="str" cm="1">
        <f t="array" ref="O332">_xlfn.IFS(
  AND(BikePurchase[[#This Row],[Age]]&gt;=18, BikePurchase[[#This Row],[Age]]&lt;=30), "Adolescent",
  AND(BikePurchase[[#This Row],[Age]]&gt;30, BikePurchase[[#This Row],[Age]]&lt;55), "Middle Aged",
  AND(BikePurchase[[#This Row],[Age]]&gt;=55, BikePurchase[[#This Row],[Age]]&lt;90), "Old",
  TRUE, "Invalid"
)</f>
        <v>Middle Aged</v>
      </c>
      <c r="P332" t="s">
        <v>15</v>
      </c>
      <c r="Q332" t="str">
        <f>IF(BikePurchase[[#This Row],[Purchased BikeX]]="No","Not Purchased","Purchased")</f>
        <v>Not Purchased</v>
      </c>
    </row>
    <row r="333" spans="1:17" x14ac:dyDescent="0.3">
      <c r="A333">
        <v>19508</v>
      </c>
      <c r="B333" t="s">
        <v>30</v>
      </c>
      <c r="C333" t="str">
        <f t="shared" si="10"/>
        <v>Married</v>
      </c>
      <c r="D333" t="s">
        <v>30</v>
      </c>
      <c r="E333" t="str">
        <f t="shared" si="11"/>
        <v>Male</v>
      </c>
      <c r="F333" s="2">
        <v>10000</v>
      </c>
      <c r="G333">
        <v>0</v>
      </c>
      <c r="H333" t="s">
        <v>26</v>
      </c>
      <c r="I333" t="s">
        <v>22</v>
      </c>
      <c r="J333" t="s">
        <v>15</v>
      </c>
      <c r="K333">
        <v>2</v>
      </c>
      <c r="L333" t="s">
        <v>35</v>
      </c>
      <c r="M333" t="s">
        <v>14</v>
      </c>
      <c r="N333" s="2">
        <v>30</v>
      </c>
      <c r="O333" t="str" cm="1">
        <f t="array" ref="O333">_xlfn.IFS(
  AND(BikePurchase[[#This Row],[Age]]&gt;=18, BikePurchase[[#This Row],[Age]]&lt;=30), "Adolescent",
  AND(BikePurchase[[#This Row],[Age]]&gt;30, BikePurchase[[#This Row],[Age]]&lt;55), "Middle Aged",
  AND(BikePurchase[[#This Row],[Age]]&gt;=55, BikePurchase[[#This Row],[Age]]&lt;90), "Old",
  TRUE, "Invalid"
)</f>
        <v>Adolescent</v>
      </c>
      <c r="P333" t="s">
        <v>15</v>
      </c>
      <c r="Q333" t="str">
        <f>IF(BikePurchase[[#This Row],[Purchased BikeX]]="No","Not Purchased","Purchased")</f>
        <v>Not Purchased</v>
      </c>
    </row>
    <row r="334" spans="1:17" x14ac:dyDescent="0.3">
      <c r="A334">
        <v>11489</v>
      </c>
      <c r="B334" t="s">
        <v>31</v>
      </c>
      <c r="C334" t="str">
        <f t="shared" si="10"/>
        <v>Single</v>
      </c>
      <c r="D334" t="s">
        <v>29</v>
      </c>
      <c r="E334" t="str">
        <f t="shared" si="11"/>
        <v>Female</v>
      </c>
      <c r="F334" s="2">
        <v>20000</v>
      </c>
      <c r="G334">
        <v>0</v>
      </c>
      <c r="H334" t="s">
        <v>26</v>
      </c>
      <c r="I334" t="s">
        <v>22</v>
      </c>
      <c r="J334" t="s">
        <v>15</v>
      </c>
      <c r="K334">
        <v>2</v>
      </c>
      <c r="L334" t="s">
        <v>23</v>
      </c>
      <c r="M334" t="s">
        <v>14</v>
      </c>
      <c r="N334" s="2">
        <v>35</v>
      </c>
      <c r="O334" t="str" cm="1">
        <f t="array" ref="O334">_xlfn.IFS(
  AND(BikePurchase[[#This Row],[Age]]&gt;=18, BikePurchase[[#This Row],[Age]]&lt;=30), "Adolescent",
  AND(BikePurchase[[#This Row],[Age]]&gt;30, BikePurchase[[#This Row],[Age]]&lt;55), "Middle Aged",
  AND(BikePurchase[[#This Row],[Age]]&gt;=55, BikePurchase[[#This Row],[Age]]&lt;90), "Old",
  TRUE, "Invalid"
)</f>
        <v>Middle Aged</v>
      </c>
      <c r="P334" t="s">
        <v>13</v>
      </c>
      <c r="Q334" t="str">
        <f>IF(BikePurchase[[#This Row],[Purchased BikeX]]="No","Not Purchased","Purchased")</f>
        <v>Purchased</v>
      </c>
    </row>
    <row r="335" spans="1:17" x14ac:dyDescent="0.3">
      <c r="A335">
        <v>18160</v>
      </c>
      <c r="B335" t="s">
        <v>30</v>
      </c>
      <c r="C335" t="str">
        <f t="shared" si="10"/>
        <v>Married</v>
      </c>
      <c r="D335" t="s">
        <v>30</v>
      </c>
      <c r="E335" t="str">
        <f t="shared" si="11"/>
        <v>Male</v>
      </c>
      <c r="F335" s="2">
        <v>130000</v>
      </c>
      <c r="G335">
        <v>3</v>
      </c>
      <c r="H335" t="s">
        <v>24</v>
      </c>
      <c r="I335" t="s">
        <v>18</v>
      </c>
      <c r="J335" t="s">
        <v>13</v>
      </c>
      <c r="K335">
        <v>4</v>
      </c>
      <c r="L335" t="s">
        <v>20</v>
      </c>
      <c r="M335" t="s">
        <v>14</v>
      </c>
      <c r="N335" s="2">
        <v>51</v>
      </c>
      <c r="O335" t="str" cm="1">
        <f t="array" ref="O335">_xlfn.IFS(
  AND(BikePurchase[[#This Row],[Age]]&gt;=18, BikePurchase[[#This Row],[Age]]&lt;=30), "Adolescent",
  AND(BikePurchase[[#This Row],[Age]]&gt;30, BikePurchase[[#This Row],[Age]]&lt;55), "Middle Aged",
  AND(BikePurchase[[#This Row],[Age]]&gt;=55, BikePurchase[[#This Row],[Age]]&lt;90), "Old",
  TRUE, "Invalid"
)</f>
        <v>Middle Aged</v>
      </c>
      <c r="P335" t="s">
        <v>13</v>
      </c>
      <c r="Q335" t="str">
        <f>IF(BikePurchase[[#This Row],[Purchased BikeX]]="No","Not Purchased","Purchased")</f>
        <v>Purchased</v>
      </c>
    </row>
    <row r="336" spans="1:17" x14ac:dyDescent="0.3">
      <c r="A336">
        <v>25241</v>
      </c>
      <c r="B336" t="s">
        <v>30</v>
      </c>
      <c r="C336" t="str">
        <f t="shared" si="10"/>
        <v>Married</v>
      </c>
      <c r="D336" t="s">
        <v>30</v>
      </c>
      <c r="E336" t="str">
        <f t="shared" si="11"/>
        <v>Male</v>
      </c>
      <c r="F336" s="2">
        <v>90000</v>
      </c>
      <c r="G336">
        <v>2</v>
      </c>
      <c r="H336" t="s">
        <v>11</v>
      </c>
      <c r="I336" t="s">
        <v>18</v>
      </c>
      <c r="J336" t="s">
        <v>13</v>
      </c>
      <c r="K336">
        <v>1</v>
      </c>
      <c r="L336" t="s">
        <v>20</v>
      </c>
      <c r="M336" t="s">
        <v>21</v>
      </c>
      <c r="N336" s="2">
        <v>47</v>
      </c>
      <c r="O336" t="str" cm="1">
        <f t="array" ref="O336">_xlfn.IFS(
  AND(BikePurchase[[#This Row],[Age]]&gt;=18, BikePurchase[[#This Row],[Age]]&lt;=30), "Adolescent",
  AND(BikePurchase[[#This Row],[Age]]&gt;30, BikePurchase[[#This Row],[Age]]&lt;55), "Middle Aged",
  AND(BikePurchase[[#This Row],[Age]]&gt;=55, BikePurchase[[#This Row],[Age]]&lt;90), "Old",
  TRUE, "Invalid"
)</f>
        <v>Middle Aged</v>
      </c>
      <c r="P336" t="s">
        <v>15</v>
      </c>
      <c r="Q336" t="str">
        <f>IF(BikePurchase[[#This Row],[Purchased BikeX]]="No","Not Purchased","Purchased")</f>
        <v>Not Purchased</v>
      </c>
    </row>
    <row r="337" spans="1:17" x14ac:dyDescent="0.3">
      <c r="A337">
        <v>24369</v>
      </c>
      <c r="B337" t="s">
        <v>30</v>
      </c>
      <c r="C337" t="str">
        <f t="shared" si="10"/>
        <v>Married</v>
      </c>
      <c r="D337" t="s">
        <v>30</v>
      </c>
      <c r="E337" t="str">
        <f t="shared" si="11"/>
        <v>Male</v>
      </c>
      <c r="F337" s="2">
        <v>80000</v>
      </c>
      <c r="G337">
        <v>5</v>
      </c>
      <c r="H337" t="s">
        <v>27</v>
      </c>
      <c r="I337" t="s">
        <v>25</v>
      </c>
      <c r="J337" t="s">
        <v>15</v>
      </c>
      <c r="K337">
        <v>2</v>
      </c>
      <c r="L337" t="s">
        <v>35</v>
      </c>
      <c r="M337" t="s">
        <v>21</v>
      </c>
      <c r="N337" s="2">
        <v>39</v>
      </c>
      <c r="O337" t="str" cm="1">
        <f t="array" ref="O337">_xlfn.IFS(
  AND(BikePurchase[[#This Row],[Age]]&gt;=18, BikePurchase[[#This Row],[Age]]&lt;=30), "Adolescent",
  AND(BikePurchase[[#This Row],[Age]]&gt;30, BikePurchase[[#This Row],[Age]]&lt;55), "Middle Aged",
  AND(BikePurchase[[#This Row],[Age]]&gt;=55, BikePurchase[[#This Row],[Age]]&lt;90), "Old",
  TRUE, "Invalid"
)</f>
        <v>Middle Aged</v>
      </c>
      <c r="P337" t="s">
        <v>15</v>
      </c>
      <c r="Q337" t="str">
        <f>IF(BikePurchase[[#This Row],[Purchased BikeX]]="No","Not Purchased","Purchased")</f>
        <v>Not Purchased</v>
      </c>
    </row>
    <row r="338" spans="1:17" x14ac:dyDescent="0.3">
      <c r="A338">
        <v>27165</v>
      </c>
      <c r="B338" t="s">
        <v>31</v>
      </c>
      <c r="C338" t="str">
        <f t="shared" si="10"/>
        <v>Single</v>
      </c>
      <c r="D338" t="s">
        <v>30</v>
      </c>
      <c r="E338" t="str">
        <f t="shared" si="11"/>
        <v>Male</v>
      </c>
      <c r="F338" s="2">
        <v>20000</v>
      </c>
      <c r="G338">
        <v>0</v>
      </c>
      <c r="H338" t="s">
        <v>26</v>
      </c>
      <c r="I338" t="s">
        <v>22</v>
      </c>
      <c r="J338" t="s">
        <v>15</v>
      </c>
      <c r="K338">
        <v>2</v>
      </c>
      <c r="L338" t="s">
        <v>35</v>
      </c>
      <c r="M338" t="s">
        <v>14</v>
      </c>
      <c r="N338" s="2">
        <v>34</v>
      </c>
      <c r="O338" t="str" cm="1">
        <f t="array" ref="O338">_xlfn.IFS(
  AND(BikePurchase[[#This Row],[Age]]&gt;=18, BikePurchase[[#This Row],[Age]]&lt;=30), "Adolescent",
  AND(BikePurchase[[#This Row],[Age]]&gt;30, BikePurchase[[#This Row],[Age]]&lt;55), "Middle Aged",
  AND(BikePurchase[[#This Row],[Age]]&gt;=55, BikePurchase[[#This Row],[Age]]&lt;90), "Old",
  TRUE, "Invalid"
)</f>
        <v>Middle Aged</v>
      </c>
      <c r="P338" t="s">
        <v>15</v>
      </c>
      <c r="Q338" t="str">
        <f>IF(BikePurchase[[#This Row],[Purchased BikeX]]="No","Not Purchased","Purchased")</f>
        <v>Not Purchased</v>
      </c>
    </row>
    <row r="339" spans="1:17" x14ac:dyDescent="0.3">
      <c r="A339">
        <v>29424</v>
      </c>
      <c r="B339" t="s">
        <v>30</v>
      </c>
      <c r="C339" t="str">
        <f t="shared" si="10"/>
        <v>Married</v>
      </c>
      <c r="D339" t="s">
        <v>30</v>
      </c>
      <c r="E339" t="str">
        <f t="shared" si="11"/>
        <v>Male</v>
      </c>
      <c r="F339" s="2">
        <v>10000</v>
      </c>
      <c r="G339">
        <v>0</v>
      </c>
      <c r="H339" t="s">
        <v>26</v>
      </c>
      <c r="I339" t="s">
        <v>22</v>
      </c>
      <c r="J339" t="s">
        <v>13</v>
      </c>
      <c r="K339">
        <v>2</v>
      </c>
      <c r="L339" t="s">
        <v>35</v>
      </c>
      <c r="M339" t="s">
        <v>14</v>
      </c>
      <c r="N339" s="2">
        <v>32</v>
      </c>
      <c r="O339" t="str" cm="1">
        <f t="array" ref="O339">_xlfn.IFS(
  AND(BikePurchase[[#This Row],[Age]]&gt;=18, BikePurchase[[#This Row],[Age]]&lt;=30), "Adolescent",
  AND(BikePurchase[[#This Row],[Age]]&gt;30, BikePurchase[[#This Row],[Age]]&lt;55), "Middle Aged",
  AND(BikePurchase[[#This Row],[Age]]&gt;=55, BikePurchase[[#This Row],[Age]]&lt;90), "Old",
  TRUE, "Invalid"
)</f>
        <v>Middle Aged</v>
      </c>
      <c r="P339" t="s">
        <v>15</v>
      </c>
      <c r="Q339" t="str">
        <f>IF(BikePurchase[[#This Row],[Purchased BikeX]]="No","Not Purchased","Purchased")</f>
        <v>Not Purchased</v>
      </c>
    </row>
    <row r="340" spans="1:17" x14ac:dyDescent="0.3">
      <c r="A340">
        <v>15926</v>
      </c>
      <c r="B340" t="s">
        <v>31</v>
      </c>
      <c r="C340" t="str">
        <f t="shared" si="10"/>
        <v>Single</v>
      </c>
      <c r="D340" t="s">
        <v>29</v>
      </c>
      <c r="E340" t="str">
        <f t="shared" si="11"/>
        <v>Female</v>
      </c>
      <c r="F340" s="2">
        <v>120000</v>
      </c>
      <c r="G340">
        <v>3</v>
      </c>
      <c r="H340" t="s">
        <v>24</v>
      </c>
      <c r="I340" t="s">
        <v>18</v>
      </c>
      <c r="J340" t="s">
        <v>13</v>
      </c>
      <c r="K340">
        <v>4</v>
      </c>
      <c r="L340" t="s">
        <v>20</v>
      </c>
      <c r="M340" t="s">
        <v>14</v>
      </c>
      <c r="N340" s="2">
        <v>50</v>
      </c>
      <c r="O340" t="str" cm="1">
        <f t="array" ref="O340">_xlfn.IFS(
  AND(BikePurchase[[#This Row],[Age]]&gt;=18, BikePurchase[[#This Row],[Age]]&lt;=30), "Adolescent",
  AND(BikePurchase[[#This Row],[Age]]&gt;30, BikePurchase[[#This Row],[Age]]&lt;55), "Middle Aged",
  AND(BikePurchase[[#This Row],[Age]]&gt;=55, BikePurchase[[#This Row],[Age]]&lt;90), "Old",
  TRUE, "Invalid"
)</f>
        <v>Middle Aged</v>
      </c>
      <c r="P340" t="s">
        <v>13</v>
      </c>
      <c r="Q340" t="str">
        <f>IF(BikePurchase[[#This Row],[Purchased BikeX]]="No","Not Purchased","Purchased")</f>
        <v>Purchased</v>
      </c>
    </row>
    <row r="341" spans="1:17" x14ac:dyDescent="0.3">
      <c r="A341">
        <v>14554</v>
      </c>
      <c r="B341" t="s">
        <v>30</v>
      </c>
      <c r="C341" t="str">
        <f t="shared" si="10"/>
        <v>Married</v>
      </c>
      <c r="D341" t="s">
        <v>30</v>
      </c>
      <c r="E341" t="str">
        <f t="shared" si="11"/>
        <v>Male</v>
      </c>
      <c r="F341" s="2">
        <v>20000</v>
      </c>
      <c r="G341">
        <v>1</v>
      </c>
      <c r="H341" t="s">
        <v>11</v>
      </c>
      <c r="I341" t="s">
        <v>17</v>
      </c>
      <c r="J341" t="s">
        <v>13</v>
      </c>
      <c r="K341">
        <v>0</v>
      </c>
      <c r="L341" t="s">
        <v>35</v>
      </c>
      <c r="M341" t="s">
        <v>14</v>
      </c>
      <c r="N341" s="2">
        <v>66</v>
      </c>
      <c r="O341" t="str" cm="1">
        <f t="array" ref="O341">_xlfn.IFS(
  AND(BikePurchase[[#This Row],[Age]]&gt;=18, BikePurchase[[#This Row],[Age]]&lt;=30), "Adolescent",
  AND(BikePurchase[[#This Row],[Age]]&gt;30, BikePurchase[[#This Row],[Age]]&lt;55), "Middle Aged",
  AND(BikePurchase[[#This Row],[Age]]&gt;=55, BikePurchase[[#This Row],[Age]]&lt;90), "Old",
  TRUE, "Invalid"
)</f>
        <v>Old</v>
      </c>
      <c r="P341" t="s">
        <v>15</v>
      </c>
      <c r="Q341" t="str">
        <f>IF(BikePurchase[[#This Row],[Purchased BikeX]]="No","Not Purchased","Purchased")</f>
        <v>Not Purchased</v>
      </c>
    </row>
    <row r="342" spans="1:17" x14ac:dyDescent="0.3">
      <c r="A342">
        <v>16468</v>
      </c>
      <c r="B342" t="s">
        <v>31</v>
      </c>
      <c r="C342" t="str">
        <f t="shared" si="10"/>
        <v>Single</v>
      </c>
      <c r="D342" t="s">
        <v>30</v>
      </c>
      <c r="E342" t="str">
        <f t="shared" si="11"/>
        <v>Male</v>
      </c>
      <c r="F342" s="2">
        <v>30000</v>
      </c>
      <c r="G342">
        <v>0</v>
      </c>
      <c r="H342" t="s">
        <v>16</v>
      </c>
      <c r="I342" t="s">
        <v>17</v>
      </c>
      <c r="J342" t="s">
        <v>13</v>
      </c>
      <c r="K342">
        <v>1</v>
      </c>
      <c r="L342" t="s">
        <v>19</v>
      </c>
      <c r="M342" t="s">
        <v>14</v>
      </c>
      <c r="N342" s="2">
        <v>30</v>
      </c>
      <c r="O342" t="str" cm="1">
        <f t="array" ref="O342">_xlfn.IFS(
  AND(BikePurchase[[#This Row],[Age]]&gt;=18, BikePurchase[[#This Row],[Age]]&lt;=30), "Adolescent",
  AND(BikePurchase[[#This Row],[Age]]&gt;30, BikePurchase[[#This Row],[Age]]&lt;55), "Middle Aged",
  AND(BikePurchase[[#This Row],[Age]]&gt;=55, BikePurchase[[#This Row],[Age]]&lt;90), "Old",
  TRUE, "Invalid"
)</f>
        <v>Adolescent</v>
      </c>
      <c r="P342" t="s">
        <v>15</v>
      </c>
      <c r="Q342" t="str">
        <f>IF(BikePurchase[[#This Row],[Purchased BikeX]]="No","Not Purchased","Purchased")</f>
        <v>Not Purchased</v>
      </c>
    </row>
    <row r="343" spans="1:17" x14ac:dyDescent="0.3">
      <c r="A343">
        <v>19174</v>
      </c>
      <c r="B343" t="s">
        <v>31</v>
      </c>
      <c r="C343" t="str">
        <f t="shared" si="10"/>
        <v>Single</v>
      </c>
      <c r="D343" t="s">
        <v>29</v>
      </c>
      <c r="E343" t="str">
        <f t="shared" si="11"/>
        <v>Female</v>
      </c>
      <c r="F343" s="2">
        <v>30000</v>
      </c>
      <c r="G343">
        <v>0</v>
      </c>
      <c r="H343" t="s">
        <v>24</v>
      </c>
      <c r="I343" t="s">
        <v>22</v>
      </c>
      <c r="J343" t="s">
        <v>15</v>
      </c>
      <c r="K343">
        <v>1</v>
      </c>
      <c r="L343" t="s">
        <v>19</v>
      </c>
      <c r="M343" t="s">
        <v>14</v>
      </c>
      <c r="N343" s="2">
        <v>32</v>
      </c>
      <c r="O343" t="str" cm="1">
        <f t="array" ref="O343">_xlfn.IFS(
  AND(BikePurchase[[#This Row],[Age]]&gt;=18, BikePurchase[[#This Row],[Age]]&lt;=30), "Adolescent",
  AND(BikePurchase[[#This Row],[Age]]&gt;30, BikePurchase[[#This Row],[Age]]&lt;55), "Middle Aged",
  AND(BikePurchase[[#This Row],[Age]]&gt;=55, BikePurchase[[#This Row],[Age]]&lt;90), "Old",
  TRUE, "Invalid"
)</f>
        <v>Middle Aged</v>
      </c>
      <c r="P343" t="s">
        <v>13</v>
      </c>
      <c r="Q343" t="str">
        <f>IF(BikePurchase[[#This Row],[Purchased BikeX]]="No","Not Purchased","Purchased")</f>
        <v>Purchased</v>
      </c>
    </row>
    <row r="344" spans="1:17" x14ac:dyDescent="0.3">
      <c r="A344">
        <v>19183</v>
      </c>
      <c r="B344" t="s">
        <v>31</v>
      </c>
      <c r="C344" t="str">
        <f t="shared" si="10"/>
        <v>Single</v>
      </c>
      <c r="D344" t="s">
        <v>30</v>
      </c>
      <c r="E344" t="str">
        <f t="shared" si="11"/>
        <v>Male</v>
      </c>
      <c r="F344" s="2">
        <v>10000</v>
      </c>
      <c r="G344">
        <v>0</v>
      </c>
      <c r="H344" t="s">
        <v>26</v>
      </c>
      <c r="I344" t="s">
        <v>22</v>
      </c>
      <c r="J344" t="s">
        <v>13</v>
      </c>
      <c r="K344">
        <v>2</v>
      </c>
      <c r="L344" t="s">
        <v>23</v>
      </c>
      <c r="M344" t="s">
        <v>14</v>
      </c>
      <c r="N344" s="2">
        <v>35</v>
      </c>
      <c r="O344" t="str" cm="1">
        <f t="array" ref="O344">_xlfn.IFS(
  AND(BikePurchase[[#This Row],[Age]]&gt;=18, BikePurchase[[#This Row],[Age]]&lt;=30), "Adolescent",
  AND(BikePurchase[[#This Row],[Age]]&gt;30, BikePurchase[[#This Row],[Age]]&lt;55), "Middle Aged",
  AND(BikePurchase[[#This Row],[Age]]&gt;=55, BikePurchase[[#This Row],[Age]]&lt;90), "Old",
  TRUE, "Invalid"
)</f>
        <v>Middle Aged</v>
      </c>
      <c r="P344" t="s">
        <v>15</v>
      </c>
      <c r="Q344" t="str">
        <f>IF(BikePurchase[[#This Row],[Purchased BikeX]]="No","Not Purchased","Purchased")</f>
        <v>Not Purchased</v>
      </c>
    </row>
    <row r="345" spans="1:17" x14ac:dyDescent="0.3">
      <c r="A345">
        <v>13683</v>
      </c>
      <c r="B345" t="s">
        <v>31</v>
      </c>
      <c r="C345" t="str">
        <f t="shared" si="10"/>
        <v>Single</v>
      </c>
      <c r="D345" t="s">
        <v>29</v>
      </c>
      <c r="E345" t="str">
        <f t="shared" si="11"/>
        <v>Female</v>
      </c>
      <c r="F345" s="2">
        <v>30000</v>
      </c>
      <c r="G345">
        <v>0</v>
      </c>
      <c r="H345" t="s">
        <v>24</v>
      </c>
      <c r="I345" t="s">
        <v>22</v>
      </c>
      <c r="J345" t="s">
        <v>15</v>
      </c>
      <c r="K345">
        <v>1</v>
      </c>
      <c r="L345" t="s">
        <v>19</v>
      </c>
      <c r="M345" t="s">
        <v>14</v>
      </c>
      <c r="N345" s="2">
        <v>32</v>
      </c>
      <c r="O345" t="str" cm="1">
        <f t="array" ref="O345">_xlfn.IFS(
  AND(BikePurchase[[#This Row],[Age]]&gt;=18, BikePurchase[[#This Row],[Age]]&lt;=30), "Adolescent",
  AND(BikePurchase[[#This Row],[Age]]&gt;30, BikePurchase[[#This Row],[Age]]&lt;55), "Middle Aged",
  AND(BikePurchase[[#This Row],[Age]]&gt;=55, BikePurchase[[#This Row],[Age]]&lt;90), "Old",
  TRUE, "Invalid"
)</f>
        <v>Middle Aged</v>
      </c>
      <c r="P345" t="s">
        <v>15</v>
      </c>
      <c r="Q345" t="str">
        <f>IF(BikePurchase[[#This Row],[Purchased BikeX]]="No","Not Purchased","Purchased")</f>
        <v>Not Purchased</v>
      </c>
    </row>
    <row r="346" spans="1:17" x14ac:dyDescent="0.3">
      <c r="A346">
        <v>17848</v>
      </c>
      <c r="B346" t="s">
        <v>31</v>
      </c>
      <c r="C346" t="str">
        <f t="shared" si="10"/>
        <v>Single</v>
      </c>
      <c r="D346" t="s">
        <v>30</v>
      </c>
      <c r="E346" t="str">
        <f t="shared" si="11"/>
        <v>Male</v>
      </c>
      <c r="F346" s="2">
        <v>30000</v>
      </c>
      <c r="G346">
        <v>0</v>
      </c>
      <c r="H346" t="s">
        <v>16</v>
      </c>
      <c r="I346" t="s">
        <v>17</v>
      </c>
      <c r="J346" t="s">
        <v>15</v>
      </c>
      <c r="K346">
        <v>1</v>
      </c>
      <c r="L346" t="s">
        <v>19</v>
      </c>
      <c r="M346" t="s">
        <v>14</v>
      </c>
      <c r="N346" s="2">
        <v>31</v>
      </c>
      <c r="O346" t="str" cm="1">
        <f t="array" ref="O346">_xlfn.IFS(
  AND(BikePurchase[[#This Row],[Age]]&gt;=18, BikePurchase[[#This Row],[Age]]&lt;=30), "Adolescent",
  AND(BikePurchase[[#This Row],[Age]]&gt;30, BikePurchase[[#This Row],[Age]]&lt;55), "Middle Aged",
  AND(BikePurchase[[#This Row],[Age]]&gt;=55, BikePurchase[[#This Row],[Age]]&lt;90), "Old",
  TRUE, "Invalid"
)</f>
        <v>Middle Aged</v>
      </c>
      <c r="P346" t="s">
        <v>13</v>
      </c>
      <c r="Q346" t="str">
        <f>IF(BikePurchase[[#This Row],[Purchased BikeX]]="No","Not Purchased","Purchased")</f>
        <v>Purchased</v>
      </c>
    </row>
    <row r="347" spans="1:17" x14ac:dyDescent="0.3">
      <c r="A347">
        <v>17894</v>
      </c>
      <c r="B347" t="s">
        <v>30</v>
      </c>
      <c r="C347" t="str">
        <f t="shared" si="10"/>
        <v>Married</v>
      </c>
      <c r="D347" t="s">
        <v>29</v>
      </c>
      <c r="E347" t="str">
        <f t="shared" si="11"/>
        <v>Female</v>
      </c>
      <c r="F347" s="2">
        <v>20000</v>
      </c>
      <c r="G347">
        <v>1</v>
      </c>
      <c r="H347" t="s">
        <v>11</v>
      </c>
      <c r="I347" t="s">
        <v>17</v>
      </c>
      <c r="J347" t="s">
        <v>13</v>
      </c>
      <c r="K347">
        <v>0</v>
      </c>
      <c r="L347" t="s">
        <v>35</v>
      </c>
      <c r="M347" t="s">
        <v>14</v>
      </c>
      <c r="N347" s="2">
        <v>50</v>
      </c>
      <c r="O347" t="str" cm="1">
        <f t="array" ref="O347">_xlfn.IFS(
  AND(BikePurchase[[#This Row],[Age]]&gt;=18, BikePurchase[[#This Row],[Age]]&lt;=30), "Adolescent",
  AND(BikePurchase[[#This Row],[Age]]&gt;30, BikePurchase[[#This Row],[Age]]&lt;55), "Middle Aged",
  AND(BikePurchase[[#This Row],[Age]]&gt;=55, BikePurchase[[#This Row],[Age]]&lt;90), "Old",
  TRUE, "Invalid"
)</f>
        <v>Middle Aged</v>
      </c>
      <c r="P347" t="s">
        <v>13</v>
      </c>
      <c r="Q347" t="str">
        <f>IF(BikePurchase[[#This Row],[Purchased BikeX]]="No","Not Purchased","Purchased")</f>
        <v>Purchased</v>
      </c>
    </row>
    <row r="348" spans="1:17" x14ac:dyDescent="0.3">
      <c r="A348">
        <v>25651</v>
      </c>
      <c r="B348" t="s">
        <v>30</v>
      </c>
      <c r="C348" t="str">
        <f t="shared" si="10"/>
        <v>Married</v>
      </c>
      <c r="D348" t="s">
        <v>30</v>
      </c>
      <c r="E348" t="str">
        <f t="shared" si="11"/>
        <v>Male</v>
      </c>
      <c r="F348" s="2">
        <v>40000</v>
      </c>
      <c r="G348">
        <v>1</v>
      </c>
      <c r="H348" t="s">
        <v>11</v>
      </c>
      <c r="I348" t="s">
        <v>12</v>
      </c>
      <c r="J348" t="s">
        <v>15</v>
      </c>
      <c r="K348">
        <v>0</v>
      </c>
      <c r="L348" t="s">
        <v>35</v>
      </c>
      <c r="M348" t="s">
        <v>14</v>
      </c>
      <c r="N348" s="2">
        <v>43</v>
      </c>
      <c r="O348" t="str" cm="1">
        <f t="array" ref="O348">_xlfn.IFS(
  AND(BikePurchase[[#This Row],[Age]]&gt;=18, BikePurchase[[#This Row],[Age]]&lt;=30), "Adolescent",
  AND(BikePurchase[[#This Row],[Age]]&gt;30, BikePurchase[[#This Row],[Age]]&lt;55), "Middle Aged",
  AND(BikePurchase[[#This Row],[Age]]&gt;=55, BikePurchase[[#This Row],[Age]]&lt;90), "Old",
  TRUE, "Invalid"
)</f>
        <v>Middle Aged</v>
      </c>
      <c r="P348" t="s">
        <v>13</v>
      </c>
      <c r="Q348" t="str">
        <f>IF(BikePurchase[[#This Row],[Purchased BikeX]]="No","Not Purchased","Purchased")</f>
        <v>Purchased</v>
      </c>
    </row>
    <row r="349" spans="1:17" x14ac:dyDescent="0.3">
      <c r="A349">
        <v>22936</v>
      </c>
      <c r="B349" t="s">
        <v>31</v>
      </c>
      <c r="C349" t="str">
        <f t="shared" si="10"/>
        <v>Single</v>
      </c>
      <c r="D349" t="s">
        <v>29</v>
      </c>
      <c r="E349" t="str">
        <f t="shared" si="11"/>
        <v>Female</v>
      </c>
      <c r="F349" s="2">
        <v>60000</v>
      </c>
      <c r="G349">
        <v>1</v>
      </c>
      <c r="H349" t="s">
        <v>16</v>
      </c>
      <c r="I349" t="s">
        <v>12</v>
      </c>
      <c r="J349" t="s">
        <v>15</v>
      </c>
      <c r="K349">
        <v>1</v>
      </c>
      <c r="L349" t="s">
        <v>35</v>
      </c>
      <c r="M349" t="s">
        <v>21</v>
      </c>
      <c r="N349" s="2">
        <v>45</v>
      </c>
      <c r="O349" t="str" cm="1">
        <f t="array" ref="O349">_xlfn.IFS(
  AND(BikePurchase[[#This Row],[Age]]&gt;=18, BikePurchase[[#This Row],[Age]]&lt;=30), "Adolescent",
  AND(BikePurchase[[#This Row],[Age]]&gt;30, BikePurchase[[#This Row],[Age]]&lt;55), "Middle Aged",
  AND(BikePurchase[[#This Row],[Age]]&gt;=55, BikePurchase[[#This Row],[Age]]&lt;90), "Old",
  TRUE, "Invalid"
)</f>
        <v>Middle Aged</v>
      </c>
      <c r="P349" t="s">
        <v>13</v>
      </c>
      <c r="Q349" t="str">
        <f>IF(BikePurchase[[#This Row],[Purchased BikeX]]="No","Not Purchased","Purchased")</f>
        <v>Purchased</v>
      </c>
    </row>
    <row r="350" spans="1:17" x14ac:dyDescent="0.3">
      <c r="A350">
        <v>23915</v>
      </c>
      <c r="B350" t="s">
        <v>30</v>
      </c>
      <c r="C350" t="str">
        <f t="shared" si="10"/>
        <v>Married</v>
      </c>
      <c r="D350" t="s">
        <v>30</v>
      </c>
      <c r="E350" t="str">
        <f t="shared" si="11"/>
        <v>Male</v>
      </c>
      <c r="F350" s="2">
        <v>20000</v>
      </c>
      <c r="G350">
        <v>2</v>
      </c>
      <c r="H350" t="s">
        <v>24</v>
      </c>
      <c r="I350" t="s">
        <v>22</v>
      </c>
      <c r="J350" t="s">
        <v>13</v>
      </c>
      <c r="K350">
        <v>2</v>
      </c>
      <c r="L350" t="s">
        <v>35</v>
      </c>
      <c r="M350" t="s">
        <v>14</v>
      </c>
      <c r="N350" s="2">
        <v>42</v>
      </c>
      <c r="O350" t="str" cm="1">
        <f t="array" ref="O350">_xlfn.IFS(
  AND(BikePurchase[[#This Row],[Age]]&gt;=18, BikePurchase[[#This Row],[Age]]&lt;=30), "Adolescent",
  AND(BikePurchase[[#This Row],[Age]]&gt;30, BikePurchase[[#This Row],[Age]]&lt;55), "Middle Aged",
  AND(BikePurchase[[#This Row],[Age]]&gt;=55, BikePurchase[[#This Row],[Age]]&lt;90), "Old",
  TRUE, "Invalid"
)</f>
        <v>Middle Aged</v>
      </c>
      <c r="P350" t="s">
        <v>15</v>
      </c>
      <c r="Q350" t="str">
        <f>IF(BikePurchase[[#This Row],[Purchased BikeX]]="No","Not Purchased","Purchased")</f>
        <v>Not Purchased</v>
      </c>
    </row>
    <row r="351" spans="1:17" x14ac:dyDescent="0.3">
      <c r="A351">
        <v>24121</v>
      </c>
      <c r="B351" t="s">
        <v>31</v>
      </c>
      <c r="C351" t="str">
        <f t="shared" si="10"/>
        <v>Single</v>
      </c>
      <c r="D351" t="s">
        <v>29</v>
      </c>
      <c r="E351" t="str">
        <f t="shared" si="11"/>
        <v>Female</v>
      </c>
      <c r="F351" s="2">
        <v>30000</v>
      </c>
      <c r="G351">
        <v>0</v>
      </c>
      <c r="H351" t="s">
        <v>16</v>
      </c>
      <c r="I351" t="s">
        <v>17</v>
      </c>
      <c r="J351" t="s">
        <v>15</v>
      </c>
      <c r="K351">
        <v>1</v>
      </c>
      <c r="L351" t="s">
        <v>35</v>
      </c>
      <c r="M351" t="s">
        <v>14</v>
      </c>
      <c r="N351" s="2">
        <v>29</v>
      </c>
      <c r="O351" t="str" cm="1">
        <f t="array" ref="O351">_xlfn.IFS(
  AND(BikePurchase[[#This Row],[Age]]&gt;=18, BikePurchase[[#This Row],[Age]]&lt;=30), "Adolescent",
  AND(BikePurchase[[#This Row],[Age]]&gt;30, BikePurchase[[#This Row],[Age]]&lt;55), "Middle Aged",
  AND(BikePurchase[[#This Row],[Age]]&gt;=55, BikePurchase[[#This Row],[Age]]&lt;90), "Old",
  TRUE, "Invalid"
)</f>
        <v>Adolescent</v>
      </c>
      <c r="P351" t="s">
        <v>13</v>
      </c>
      <c r="Q351" t="str">
        <f>IF(BikePurchase[[#This Row],[Purchased BikeX]]="No","Not Purchased","Purchased")</f>
        <v>Purchased</v>
      </c>
    </row>
    <row r="352" spans="1:17" x14ac:dyDescent="0.3">
      <c r="A352">
        <v>27878</v>
      </c>
      <c r="B352" t="s">
        <v>31</v>
      </c>
      <c r="C352" t="str">
        <f t="shared" si="10"/>
        <v>Single</v>
      </c>
      <c r="D352" t="s">
        <v>30</v>
      </c>
      <c r="E352" t="str">
        <f t="shared" si="11"/>
        <v>Male</v>
      </c>
      <c r="F352" s="2">
        <v>20000</v>
      </c>
      <c r="G352">
        <v>0</v>
      </c>
      <c r="H352" t="s">
        <v>16</v>
      </c>
      <c r="I352" t="s">
        <v>22</v>
      </c>
      <c r="J352" t="s">
        <v>15</v>
      </c>
      <c r="K352">
        <v>0</v>
      </c>
      <c r="L352" t="s">
        <v>35</v>
      </c>
      <c r="M352" t="s">
        <v>21</v>
      </c>
      <c r="N352" s="2">
        <v>28</v>
      </c>
      <c r="O352" t="str" cm="1">
        <f t="array" ref="O352">_xlfn.IFS(
  AND(BikePurchase[[#This Row],[Age]]&gt;=18, BikePurchase[[#This Row],[Age]]&lt;=30), "Adolescent",
  AND(BikePurchase[[#This Row],[Age]]&gt;30, BikePurchase[[#This Row],[Age]]&lt;55), "Middle Aged",
  AND(BikePurchase[[#This Row],[Age]]&gt;=55, BikePurchase[[#This Row],[Age]]&lt;90), "Old",
  TRUE, "Invalid"
)</f>
        <v>Adolescent</v>
      </c>
      <c r="P352" t="s">
        <v>13</v>
      </c>
      <c r="Q352" t="str">
        <f>IF(BikePurchase[[#This Row],[Purchased BikeX]]="No","Not Purchased","Purchased")</f>
        <v>Purchased</v>
      </c>
    </row>
    <row r="353" spans="1:17" x14ac:dyDescent="0.3">
      <c r="A353">
        <v>13572</v>
      </c>
      <c r="B353" t="s">
        <v>31</v>
      </c>
      <c r="C353" t="str">
        <f t="shared" si="10"/>
        <v>Single</v>
      </c>
      <c r="D353" t="s">
        <v>30</v>
      </c>
      <c r="E353" t="str">
        <f t="shared" si="11"/>
        <v>Male</v>
      </c>
      <c r="F353" s="2">
        <v>10000</v>
      </c>
      <c r="G353">
        <v>3</v>
      </c>
      <c r="H353" t="s">
        <v>24</v>
      </c>
      <c r="I353" t="s">
        <v>22</v>
      </c>
      <c r="J353" t="s">
        <v>13</v>
      </c>
      <c r="K353">
        <v>0</v>
      </c>
      <c r="L353" t="s">
        <v>35</v>
      </c>
      <c r="M353" t="s">
        <v>14</v>
      </c>
      <c r="N353" s="2">
        <v>37</v>
      </c>
      <c r="O353" t="str" cm="1">
        <f t="array" ref="O353">_xlfn.IFS(
  AND(BikePurchase[[#This Row],[Age]]&gt;=18, BikePurchase[[#This Row],[Age]]&lt;=30), "Adolescent",
  AND(BikePurchase[[#This Row],[Age]]&gt;30, BikePurchase[[#This Row],[Age]]&lt;55), "Middle Aged",
  AND(BikePurchase[[#This Row],[Age]]&gt;=55, BikePurchase[[#This Row],[Age]]&lt;90), "Old",
  TRUE, "Invalid"
)</f>
        <v>Middle Aged</v>
      </c>
      <c r="P353" t="s">
        <v>13</v>
      </c>
      <c r="Q353" t="str">
        <f>IF(BikePurchase[[#This Row],[Purchased BikeX]]="No","Not Purchased","Purchased")</f>
        <v>Purchased</v>
      </c>
    </row>
    <row r="354" spans="1:17" x14ac:dyDescent="0.3">
      <c r="A354">
        <v>27941</v>
      </c>
      <c r="B354" t="s">
        <v>30</v>
      </c>
      <c r="C354" t="str">
        <f t="shared" si="10"/>
        <v>Married</v>
      </c>
      <c r="D354" t="s">
        <v>29</v>
      </c>
      <c r="E354" t="str">
        <f t="shared" si="11"/>
        <v>Female</v>
      </c>
      <c r="F354" s="2">
        <v>80000</v>
      </c>
      <c r="G354">
        <v>4</v>
      </c>
      <c r="H354" t="s">
        <v>16</v>
      </c>
      <c r="I354" t="s">
        <v>18</v>
      </c>
      <c r="J354" t="s">
        <v>13</v>
      </c>
      <c r="K354">
        <v>2</v>
      </c>
      <c r="L354" t="s">
        <v>19</v>
      </c>
      <c r="M354" t="s">
        <v>14</v>
      </c>
      <c r="N354" s="2">
        <v>53</v>
      </c>
      <c r="O354" t="str" cm="1">
        <f t="array" ref="O354">_xlfn.IFS(
  AND(BikePurchase[[#This Row],[Age]]&gt;=18, BikePurchase[[#This Row],[Age]]&lt;=30), "Adolescent",
  AND(BikePurchase[[#This Row],[Age]]&gt;30, BikePurchase[[#This Row],[Age]]&lt;55), "Middle Aged",
  AND(BikePurchase[[#This Row],[Age]]&gt;=55, BikePurchase[[#This Row],[Age]]&lt;90), "Old",
  TRUE, "Invalid"
)</f>
        <v>Middle Aged</v>
      </c>
      <c r="P354" t="s">
        <v>15</v>
      </c>
      <c r="Q354" t="str">
        <f>IF(BikePurchase[[#This Row],[Purchased BikeX]]="No","Not Purchased","Purchased")</f>
        <v>Not Purchased</v>
      </c>
    </row>
    <row r="355" spans="1:17" x14ac:dyDescent="0.3">
      <c r="A355">
        <v>26354</v>
      </c>
      <c r="B355" t="s">
        <v>31</v>
      </c>
      <c r="C355" t="str">
        <f t="shared" si="10"/>
        <v>Single</v>
      </c>
      <c r="D355" t="s">
        <v>30</v>
      </c>
      <c r="E355" t="str">
        <f t="shared" si="11"/>
        <v>Male</v>
      </c>
      <c r="F355" s="2">
        <v>40000</v>
      </c>
      <c r="G355">
        <v>0</v>
      </c>
      <c r="H355" t="s">
        <v>27</v>
      </c>
      <c r="I355" t="s">
        <v>17</v>
      </c>
      <c r="J355" t="s">
        <v>15</v>
      </c>
      <c r="K355">
        <v>0</v>
      </c>
      <c r="L355" t="s">
        <v>35</v>
      </c>
      <c r="M355" t="s">
        <v>14</v>
      </c>
      <c r="N355" s="2">
        <v>38</v>
      </c>
      <c r="O355" t="str" cm="1">
        <f t="array" ref="O355">_xlfn.IFS(
  AND(BikePurchase[[#This Row],[Age]]&gt;=18, BikePurchase[[#This Row],[Age]]&lt;=30), "Adolescent",
  AND(BikePurchase[[#This Row],[Age]]&gt;30, BikePurchase[[#This Row],[Age]]&lt;55), "Middle Aged",
  AND(BikePurchase[[#This Row],[Age]]&gt;=55, BikePurchase[[#This Row],[Age]]&lt;90), "Old",
  TRUE, "Invalid"
)</f>
        <v>Middle Aged</v>
      </c>
      <c r="P355" t="s">
        <v>13</v>
      </c>
      <c r="Q355" t="str">
        <f>IF(BikePurchase[[#This Row],[Purchased BikeX]]="No","Not Purchased","Purchased")</f>
        <v>Purchased</v>
      </c>
    </row>
    <row r="356" spans="1:17" x14ac:dyDescent="0.3">
      <c r="A356">
        <v>14785</v>
      </c>
      <c r="B356" t="s">
        <v>31</v>
      </c>
      <c r="C356" t="str">
        <f t="shared" si="10"/>
        <v>Single</v>
      </c>
      <c r="D356" t="s">
        <v>30</v>
      </c>
      <c r="E356" t="str">
        <f t="shared" si="11"/>
        <v>Male</v>
      </c>
      <c r="F356" s="2">
        <v>30000</v>
      </c>
      <c r="G356">
        <v>1</v>
      </c>
      <c r="H356" t="s">
        <v>11</v>
      </c>
      <c r="I356" t="s">
        <v>17</v>
      </c>
      <c r="J356" t="s">
        <v>15</v>
      </c>
      <c r="K356">
        <v>1</v>
      </c>
      <c r="L356" t="s">
        <v>23</v>
      </c>
      <c r="M356" t="s">
        <v>14</v>
      </c>
      <c r="N356" s="2">
        <v>39</v>
      </c>
      <c r="O356" t="str" cm="1">
        <f t="array" ref="O356">_xlfn.IFS(
  AND(BikePurchase[[#This Row],[Age]]&gt;=18, BikePurchase[[#This Row],[Age]]&lt;=30), "Adolescent",
  AND(BikePurchase[[#This Row],[Age]]&gt;30, BikePurchase[[#This Row],[Age]]&lt;55), "Middle Aged",
  AND(BikePurchase[[#This Row],[Age]]&gt;=55, BikePurchase[[#This Row],[Age]]&lt;90), "Old",
  TRUE, "Invalid"
)</f>
        <v>Middle Aged</v>
      </c>
      <c r="P356" t="s">
        <v>15</v>
      </c>
      <c r="Q356" t="str">
        <f>IF(BikePurchase[[#This Row],[Purchased BikeX]]="No","Not Purchased","Purchased")</f>
        <v>Not Purchased</v>
      </c>
    </row>
    <row r="357" spans="1:17" x14ac:dyDescent="0.3">
      <c r="A357">
        <v>17238</v>
      </c>
      <c r="B357" t="s">
        <v>31</v>
      </c>
      <c r="C357" t="str">
        <f t="shared" si="10"/>
        <v>Single</v>
      </c>
      <c r="D357" t="s">
        <v>30</v>
      </c>
      <c r="E357" t="str">
        <f t="shared" si="11"/>
        <v>Male</v>
      </c>
      <c r="F357" s="2">
        <v>80000</v>
      </c>
      <c r="G357">
        <v>0</v>
      </c>
      <c r="H357" t="s">
        <v>11</v>
      </c>
      <c r="I357" t="s">
        <v>18</v>
      </c>
      <c r="J357" t="s">
        <v>13</v>
      </c>
      <c r="K357">
        <v>3</v>
      </c>
      <c r="L357" t="s">
        <v>48</v>
      </c>
      <c r="M357" t="s">
        <v>21</v>
      </c>
      <c r="N357" s="2">
        <v>32</v>
      </c>
      <c r="O357" t="str" cm="1">
        <f t="array" ref="O357">_xlfn.IFS(
  AND(BikePurchase[[#This Row],[Age]]&gt;=18, BikePurchase[[#This Row],[Age]]&lt;=30), "Adolescent",
  AND(BikePurchase[[#This Row],[Age]]&gt;30, BikePurchase[[#This Row],[Age]]&lt;55), "Middle Aged",
  AND(BikePurchase[[#This Row],[Age]]&gt;=55, BikePurchase[[#This Row],[Age]]&lt;90), "Old",
  TRUE, "Invalid"
)</f>
        <v>Middle Aged</v>
      </c>
      <c r="P357" t="s">
        <v>15</v>
      </c>
      <c r="Q357" t="str">
        <f>IF(BikePurchase[[#This Row],[Purchased BikeX]]="No","Not Purchased","Purchased")</f>
        <v>Not Purchased</v>
      </c>
    </row>
    <row r="358" spans="1:17" x14ac:dyDescent="0.3">
      <c r="A358">
        <v>23608</v>
      </c>
      <c r="B358" t="s">
        <v>30</v>
      </c>
      <c r="C358" t="str">
        <f t="shared" si="10"/>
        <v>Married</v>
      </c>
      <c r="D358" t="s">
        <v>29</v>
      </c>
      <c r="E358" t="str">
        <f t="shared" si="11"/>
        <v>Female</v>
      </c>
      <c r="F358" s="2">
        <v>150000</v>
      </c>
      <c r="G358">
        <v>3</v>
      </c>
      <c r="H358" t="s">
        <v>24</v>
      </c>
      <c r="I358" t="s">
        <v>18</v>
      </c>
      <c r="J358" t="s">
        <v>13</v>
      </c>
      <c r="K358">
        <v>3</v>
      </c>
      <c r="L358" t="s">
        <v>35</v>
      </c>
      <c r="M358" t="s">
        <v>14</v>
      </c>
      <c r="N358" s="2">
        <v>51</v>
      </c>
      <c r="O358" t="str" cm="1">
        <f t="array" ref="O358">_xlfn.IFS(
  AND(BikePurchase[[#This Row],[Age]]&gt;=18, BikePurchase[[#This Row],[Age]]&lt;=30), "Adolescent",
  AND(BikePurchase[[#This Row],[Age]]&gt;30, BikePurchase[[#This Row],[Age]]&lt;55), "Middle Aged",
  AND(BikePurchase[[#This Row],[Age]]&gt;=55, BikePurchase[[#This Row],[Age]]&lt;90), "Old",
  TRUE, "Invalid"
)</f>
        <v>Middle Aged</v>
      </c>
      <c r="P358" t="s">
        <v>13</v>
      </c>
      <c r="Q358" t="str">
        <f>IF(BikePurchase[[#This Row],[Purchased BikeX]]="No","Not Purchased","Purchased")</f>
        <v>Purchased</v>
      </c>
    </row>
    <row r="359" spans="1:17" x14ac:dyDescent="0.3">
      <c r="A359">
        <v>22538</v>
      </c>
      <c r="B359" t="s">
        <v>31</v>
      </c>
      <c r="C359" t="str">
        <f t="shared" si="10"/>
        <v>Single</v>
      </c>
      <c r="D359" t="s">
        <v>29</v>
      </c>
      <c r="E359" t="str">
        <f t="shared" si="11"/>
        <v>Female</v>
      </c>
      <c r="F359" s="2">
        <v>10000</v>
      </c>
      <c r="G359">
        <v>0</v>
      </c>
      <c r="H359" t="s">
        <v>26</v>
      </c>
      <c r="I359" t="s">
        <v>22</v>
      </c>
      <c r="J359" t="s">
        <v>13</v>
      </c>
      <c r="K359">
        <v>2</v>
      </c>
      <c r="L359" t="s">
        <v>23</v>
      </c>
      <c r="M359" t="s">
        <v>14</v>
      </c>
      <c r="N359" s="2">
        <v>33</v>
      </c>
      <c r="O359" t="str" cm="1">
        <f t="array" ref="O359">_xlfn.IFS(
  AND(BikePurchase[[#This Row],[Age]]&gt;=18, BikePurchase[[#This Row],[Age]]&lt;=30), "Adolescent",
  AND(BikePurchase[[#This Row],[Age]]&gt;30, BikePurchase[[#This Row],[Age]]&lt;55), "Middle Aged",
  AND(BikePurchase[[#This Row],[Age]]&gt;=55, BikePurchase[[#This Row],[Age]]&lt;90), "Old",
  TRUE, "Invalid"
)</f>
        <v>Middle Aged</v>
      </c>
      <c r="P359" t="s">
        <v>15</v>
      </c>
      <c r="Q359" t="str">
        <f>IF(BikePurchase[[#This Row],[Purchased BikeX]]="No","Not Purchased","Purchased")</f>
        <v>Not Purchased</v>
      </c>
    </row>
    <row r="360" spans="1:17" x14ac:dyDescent="0.3">
      <c r="A360">
        <v>12332</v>
      </c>
      <c r="B360" t="s">
        <v>30</v>
      </c>
      <c r="C360" t="str">
        <f t="shared" si="10"/>
        <v>Married</v>
      </c>
      <c r="D360" t="s">
        <v>30</v>
      </c>
      <c r="E360" t="str">
        <f t="shared" si="11"/>
        <v>Male</v>
      </c>
      <c r="F360" s="2">
        <v>90000</v>
      </c>
      <c r="G360">
        <v>4</v>
      </c>
      <c r="H360" t="s">
        <v>24</v>
      </c>
      <c r="I360" t="s">
        <v>25</v>
      </c>
      <c r="J360" t="s">
        <v>13</v>
      </c>
      <c r="K360">
        <v>3</v>
      </c>
      <c r="L360" t="s">
        <v>20</v>
      </c>
      <c r="M360" t="s">
        <v>14</v>
      </c>
      <c r="N360" s="2">
        <v>58</v>
      </c>
      <c r="O360" t="str" cm="1">
        <f t="array" ref="O360">_xlfn.IFS(
  AND(BikePurchase[[#This Row],[Age]]&gt;=18, BikePurchase[[#This Row],[Age]]&lt;=30), "Adolescent",
  AND(BikePurchase[[#This Row],[Age]]&gt;30, BikePurchase[[#This Row],[Age]]&lt;55), "Middle Aged",
  AND(BikePurchase[[#This Row],[Age]]&gt;=55, BikePurchase[[#This Row],[Age]]&lt;90), "Old",
  TRUE, "Invalid"
)</f>
        <v>Old</v>
      </c>
      <c r="P360" t="s">
        <v>13</v>
      </c>
      <c r="Q360" t="str">
        <f>IF(BikePurchase[[#This Row],[Purchased BikeX]]="No","Not Purchased","Purchased")</f>
        <v>Purchased</v>
      </c>
    </row>
    <row r="361" spans="1:17" x14ac:dyDescent="0.3">
      <c r="A361">
        <v>17230</v>
      </c>
      <c r="B361" t="s">
        <v>30</v>
      </c>
      <c r="C361" t="str">
        <f t="shared" si="10"/>
        <v>Married</v>
      </c>
      <c r="D361" t="s">
        <v>30</v>
      </c>
      <c r="E361" t="str">
        <f t="shared" si="11"/>
        <v>Male</v>
      </c>
      <c r="F361" s="2">
        <v>80000</v>
      </c>
      <c r="G361">
        <v>0</v>
      </c>
      <c r="H361" t="s">
        <v>11</v>
      </c>
      <c r="I361" t="s">
        <v>18</v>
      </c>
      <c r="J361" t="s">
        <v>13</v>
      </c>
      <c r="K361">
        <v>3</v>
      </c>
      <c r="L361" t="s">
        <v>48</v>
      </c>
      <c r="M361" t="s">
        <v>21</v>
      </c>
      <c r="N361" s="2">
        <v>30</v>
      </c>
      <c r="O361" t="str" cm="1">
        <f t="array" ref="O361">_xlfn.IFS(
  AND(BikePurchase[[#This Row],[Age]]&gt;=18, BikePurchase[[#This Row],[Age]]&lt;=30), "Adolescent",
  AND(BikePurchase[[#This Row],[Age]]&gt;30, BikePurchase[[#This Row],[Age]]&lt;55), "Middle Aged",
  AND(BikePurchase[[#This Row],[Age]]&gt;=55, BikePurchase[[#This Row],[Age]]&lt;90), "Old",
  TRUE, "Invalid"
)</f>
        <v>Adolescent</v>
      </c>
      <c r="P361" t="s">
        <v>15</v>
      </c>
      <c r="Q361" t="str">
        <f>IF(BikePurchase[[#This Row],[Purchased BikeX]]="No","Not Purchased","Purchased")</f>
        <v>Not Purchased</v>
      </c>
    </row>
    <row r="362" spans="1:17" x14ac:dyDescent="0.3">
      <c r="A362">
        <v>13082</v>
      </c>
      <c r="B362" t="s">
        <v>31</v>
      </c>
      <c r="C362" t="str">
        <f t="shared" si="10"/>
        <v>Single</v>
      </c>
      <c r="D362" t="s">
        <v>30</v>
      </c>
      <c r="E362" t="str">
        <f t="shared" si="11"/>
        <v>Male</v>
      </c>
      <c r="F362" s="2">
        <v>130000</v>
      </c>
      <c r="G362">
        <v>0</v>
      </c>
      <c r="H362" t="s">
        <v>27</v>
      </c>
      <c r="I362" t="s">
        <v>25</v>
      </c>
      <c r="J362" t="s">
        <v>13</v>
      </c>
      <c r="K362">
        <v>0</v>
      </c>
      <c r="L362" t="s">
        <v>19</v>
      </c>
      <c r="M362" t="s">
        <v>21</v>
      </c>
      <c r="N362" s="2">
        <v>48</v>
      </c>
      <c r="O362" t="str" cm="1">
        <f t="array" ref="O362">_xlfn.IFS(
  AND(BikePurchase[[#This Row],[Age]]&gt;=18, BikePurchase[[#This Row],[Age]]&lt;=30), "Adolescent",
  AND(BikePurchase[[#This Row],[Age]]&gt;30, BikePurchase[[#This Row],[Age]]&lt;55), "Middle Aged",
  AND(BikePurchase[[#This Row],[Age]]&gt;=55, BikePurchase[[#This Row],[Age]]&lt;90), "Old",
  TRUE, "Invalid"
)</f>
        <v>Middle Aged</v>
      </c>
      <c r="P362" t="s">
        <v>13</v>
      </c>
      <c r="Q362" t="str">
        <f>IF(BikePurchase[[#This Row],[Purchased BikeX]]="No","Not Purchased","Purchased")</f>
        <v>Purchased</v>
      </c>
    </row>
    <row r="363" spans="1:17" x14ac:dyDescent="0.3">
      <c r="A363">
        <v>22518</v>
      </c>
      <c r="B363" t="s">
        <v>31</v>
      </c>
      <c r="C363" t="str">
        <f t="shared" si="10"/>
        <v>Single</v>
      </c>
      <c r="D363" t="s">
        <v>29</v>
      </c>
      <c r="E363" t="str">
        <f t="shared" si="11"/>
        <v>Female</v>
      </c>
      <c r="F363" s="2">
        <v>30000</v>
      </c>
      <c r="G363">
        <v>3</v>
      </c>
      <c r="H363" t="s">
        <v>16</v>
      </c>
      <c r="I363" t="s">
        <v>17</v>
      </c>
      <c r="J363" t="s">
        <v>15</v>
      </c>
      <c r="K363">
        <v>2</v>
      </c>
      <c r="L363" t="s">
        <v>35</v>
      </c>
      <c r="M363" t="s">
        <v>14</v>
      </c>
      <c r="N363" s="2">
        <v>27</v>
      </c>
      <c r="O363" t="str" cm="1">
        <f t="array" ref="O363">_xlfn.IFS(
  AND(BikePurchase[[#This Row],[Age]]&gt;=18, BikePurchase[[#This Row],[Age]]&lt;=30), "Adolescent",
  AND(BikePurchase[[#This Row],[Age]]&gt;30, BikePurchase[[#This Row],[Age]]&lt;55), "Middle Aged",
  AND(BikePurchase[[#This Row],[Age]]&gt;=55, BikePurchase[[#This Row],[Age]]&lt;90), "Old",
  TRUE, "Invalid"
)</f>
        <v>Adolescent</v>
      </c>
      <c r="P363" t="s">
        <v>13</v>
      </c>
      <c r="Q363" t="str">
        <f>IF(BikePurchase[[#This Row],[Purchased BikeX]]="No","Not Purchased","Purchased")</f>
        <v>Purchased</v>
      </c>
    </row>
    <row r="364" spans="1:17" x14ac:dyDescent="0.3">
      <c r="A364">
        <v>13687</v>
      </c>
      <c r="B364" t="s">
        <v>30</v>
      </c>
      <c r="C364" t="str">
        <f t="shared" si="10"/>
        <v>Married</v>
      </c>
      <c r="D364" t="s">
        <v>30</v>
      </c>
      <c r="E364" t="str">
        <f t="shared" si="11"/>
        <v>Male</v>
      </c>
      <c r="F364" s="2">
        <v>40000</v>
      </c>
      <c r="G364">
        <v>1</v>
      </c>
      <c r="H364" t="s">
        <v>11</v>
      </c>
      <c r="I364" t="s">
        <v>12</v>
      </c>
      <c r="J364" t="s">
        <v>13</v>
      </c>
      <c r="K364">
        <v>1</v>
      </c>
      <c r="L364" t="s">
        <v>35</v>
      </c>
      <c r="M364" t="s">
        <v>14</v>
      </c>
      <c r="N364" s="2">
        <v>33</v>
      </c>
      <c r="O364" t="str" cm="1">
        <f t="array" ref="O364">_xlfn.IFS(
  AND(BikePurchase[[#This Row],[Age]]&gt;=18, BikePurchase[[#This Row],[Age]]&lt;=30), "Adolescent",
  AND(BikePurchase[[#This Row],[Age]]&gt;30, BikePurchase[[#This Row],[Age]]&lt;55), "Middle Aged",
  AND(BikePurchase[[#This Row],[Age]]&gt;=55, BikePurchase[[#This Row],[Age]]&lt;90), "Old",
  TRUE, "Invalid"
)</f>
        <v>Middle Aged</v>
      </c>
      <c r="P364" t="s">
        <v>13</v>
      </c>
      <c r="Q364" t="str">
        <f>IF(BikePurchase[[#This Row],[Purchased BikeX]]="No","Not Purchased","Purchased")</f>
        <v>Purchased</v>
      </c>
    </row>
    <row r="365" spans="1:17" x14ac:dyDescent="0.3">
      <c r="A365">
        <v>23571</v>
      </c>
      <c r="B365" t="s">
        <v>30</v>
      </c>
      <c r="C365" t="str">
        <f t="shared" si="10"/>
        <v>Married</v>
      </c>
      <c r="D365" t="s">
        <v>29</v>
      </c>
      <c r="E365" t="str">
        <f t="shared" si="11"/>
        <v>Female</v>
      </c>
      <c r="F365" s="2">
        <v>40000</v>
      </c>
      <c r="G365">
        <v>2</v>
      </c>
      <c r="H365" t="s">
        <v>11</v>
      </c>
      <c r="I365" t="s">
        <v>25</v>
      </c>
      <c r="J365" t="s">
        <v>13</v>
      </c>
      <c r="K365">
        <v>2</v>
      </c>
      <c r="L365" t="s">
        <v>35</v>
      </c>
      <c r="M365" t="s">
        <v>21</v>
      </c>
      <c r="N365" s="2">
        <v>66</v>
      </c>
      <c r="O365" t="str" cm="1">
        <f t="array" ref="O365">_xlfn.IFS(
  AND(BikePurchase[[#This Row],[Age]]&gt;=18, BikePurchase[[#This Row],[Age]]&lt;=30), "Adolescent",
  AND(BikePurchase[[#This Row],[Age]]&gt;30, BikePurchase[[#This Row],[Age]]&lt;55), "Middle Aged",
  AND(BikePurchase[[#This Row],[Age]]&gt;=55, BikePurchase[[#This Row],[Age]]&lt;90), "Old",
  TRUE, "Invalid"
)</f>
        <v>Old</v>
      </c>
      <c r="P365" t="s">
        <v>13</v>
      </c>
      <c r="Q365" t="str">
        <f>IF(BikePurchase[[#This Row],[Purchased BikeX]]="No","Not Purchased","Purchased")</f>
        <v>Purchased</v>
      </c>
    </row>
    <row r="366" spans="1:17" x14ac:dyDescent="0.3">
      <c r="A366">
        <v>19305</v>
      </c>
      <c r="B366" t="s">
        <v>31</v>
      </c>
      <c r="C366" t="str">
        <f t="shared" si="10"/>
        <v>Single</v>
      </c>
      <c r="D366" t="s">
        <v>29</v>
      </c>
      <c r="E366" t="str">
        <f t="shared" si="11"/>
        <v>Female</v>
      </c>
      <c r="F366" s="2">
        <v>10000</v>
      </c>
      <c r="G366">
        <v>2</v>
      </c>
      <c r="H366" t="s">
        <v>24</v>
      </c>
      <c r="I366" t="s">
        <v>22</v>
      </c>
      <c r="J366" t="s">
        <v>13</v>
      </c>
      <c r="K366">
        <v>1</v>
      </c>
      <c r="L366" t="s">
        <v>35</v>
      </c>
      <c r="M366" t="s">
        <v>14</v>
      </c>
      <c r="N366" s="2">
        <v>38</v>
      </c>
      <c r="O366" t="str" cm="1">
        <f t="array" ref="O366">_xlfn.IFS(
  AND(BikePurchase[[#This Row],[Age]]&gt;=18, BikePurchase[[#This Row],[Age]]&lt;=30), "Adolescent",
  AND(BikePurchase[[#This Row],[Age]]&gt;30, BikePurchase[[#This Row],[Age]]&lt;55), "Middle Aged",
  AND(BikePurchase[[#This Row],[Age]]&gt;=55, BikePurchase[[#This Row],[Age]]&lt;90), "Old",
  TRUE, "Invalid"
)</f>
        <v>Middle Aged</v>
      </c>
      <c r="P366" t="s">
        <v>13</v>
      </c>
      <c r="Q366" t="str">
        <f>IF(BikePurchase[[#This Row],[Purchased BikeX]]="No","Not Purchased","Purchased")</f>
        <v>Purchased</v>
      </c>
    </row>
    <row r="367" spans="1:17" x14ac:dyDescent="0.3">
      <c r="A367">
        <v>22636</v>
      </c>
      <c r="B367" t="s">
        <v>31</v>
      </c>
      <c r="C367" t="str">
        <f t="shared" si="10"/>
        <v>Single</v>
      </c>
      <c r="D367" t="s">
        <v>29</v>
      </c>
      <c r="E367" t="str">
        <f t="shared" si="11"/>
        <v>Female</v>
      </c>
      <c r="F367" s="2">
        <v>40000</v>
      </c>
      <c r="G367">
        <v>0</v>
      </c>
      <c r="H367" t="s">
        <v>11</v>
      </c>
      <c r="I367" t="s">
        <v>17</v>
      </c>
      <c r="J367" t="s">
        <v>15</v>
      </c>
      <c r="K367">
        <v>0</v>
      </c>
      <c r="L367" t="s">
        <v>35</v>
      </c>
      <c r="M367" t="s">
        <v>14</v>
      </c>
      <c r="N367" s="2">
        <v>38</v>
      </c>
      <c r="O367" t="str" cm="1">
        <f t="array" ref="O367">_xlfn.IFS(
  AND(BikePurchase[[#This Row],[Age]]&gt;=18, BikePurchase[[#This Row],[Age]]&lt;=30), "Adolescent",
  AND(BikePurchase[[#This Row],[Age]]&gt;30, BikePurchase[[#This Row],[Age]]&lt;55), "Middle Aged",
  AND(BikePurchase[[#This Row],[Age]]&gt;=55, BikePurchase[[#This Row],[Age]]&lt;90), "Old",
  TRUE, "Invalid"
)</f>
        <v>Middle Aged</v>
      </c>
      <c r="P367" t="s">
        <v>13</v>
      </c>
      <c r="Q367" t="str">
        <f>IF(BikePurchase[[#This Row],[Purchased BikeX]]="No","Not Purchased","Purchased")</f>
        <v>Purchased</v>
      </c>
    </row>
    <row r="368" spans="1:17" x14ac:dyDescent="0.3">
      <c r="A368">
        <v>17310</v>
      </c>
      <c r="B368" t="s">
        <v>30</v>
      </c>
      <c r="C368" t="str">
        <f t="shared" si="10"/>
        <v>Married</v>
      </c>
      <c r="D368" t="s">
        <v>30</v>
      </c>
      <c r="E368" t="str">
        <f t="shared" si="11"/>
        <v>Male</v>
      </c>
      <c r="F368" s="2">
        <v>60000</v>
      </c>
      <c r="G368">
        <v>1</v>
      </c>
      <c r="H368" t="s">
        <v>16</v>
      </c>
      <c r="I368" t="s">
        <v>12</v>
      </c>
      <c r="J368" t="s">
        <v>13</v>
      </c>
      <c r="K368">
        <v>1</v>
      </c>
      <c r="L368" t="s">
        <v>35</v>
      </c>
      <c r="M368" t="s">
        <v>21</v>
      </c>
      <c r="N368" s="2">
        <v>45</v>
      </c>
      <c r="O368" t="str" cm="1">
        <f t="array" ref="O368">_xlfn.IFS(
  AND(BikePurchase[[#This Row],[Age]]&gt;=18, BikePurchase[[#This Row],[Age]]&lt;=30), "Adolescent",
  AND(BikePurchase[[#This Row],[Age]]&gt;30, BikePurchase[[#This Row],[Age]]&lt;55), "Middle Aged",
  AND(BikePurchase[[#This Row],[Age]]&gt;=55, BikePurchase[[#This Row],[Age]]&lt;90), "Old",
  TRUE, "Invalid"
)</f>
        <v>Middle Aged</v>
      </c>
      <c r="P368" t="s">
        <v>13</v>
      </c>
      <c r="Q368" t="str">
        <f>IF(BikePurchase[[#This Row],[Purchased BikeX]]="No","Not Purchased","Purchased")</f>
        <v>Purchased</v>
      </c>
    </row>
    <row r="369" spans="1:17" x14ac:dyDescent="0.3">
      <c r="A369">
        <v>12133</v>
      </c>
      <c r="B369" t="s">
        <v>30</v>
      </c>
      <c r="C369" t="str">
        <f t="shared" si="10"/>
        <v>Married</v>
      </c>
      <c r="D369" t="s">
        <v>29</v>
      </c>
      <c r="E369" t="str">
        <f t="shared" si="11"/>
        <v>Female</v>
      </c>
      <c r="F369" s="2">
        <v>130000</v>
      </c>
      <c r="G369">
        <v>3</v>
      </c>
      <c r="H369" t="s">
        <v>16</v>
      </c>
      <c r="I369" t="s">
        <v>18</v>
      </c>
      <c r="J369" t="s">
        <v>13</v>
      </c>
      <c r="K369">
        <v>3</v>
      </c>
      <c r="L369" t="s">
        <v>20</v>
      </c>
      <c r="M369" t="s">
        <v>14</v>
      </c>
      <c r="N369" s="2">
        <v>50</v>
      </c>
      <c r="O369" t="str" cm="1">
        <f t="array" ref="O369">_xlfn.IFS(
  AND(BikePurchase[[#This Row],[Age]]&gt;=18, BikePurchase[[#This Row],[Age]]&lt;=30), "Adolescent",
  AND(BikePurchase[[#This Row],[Age]]&gt;30, BikePurchase[[#This Row],[Age]]&lt;55), "Middle Aged",
  AND(BikePurchase[[#This Row],[Age]]&gt;=55, BikePurchase[[#This Row],[Age]]&lt;90), "Old",
  TRUE, "Invalid"
)</f>
        <v>Middle Aged</v>
      </c>
      <c r="P369" t="s">
        <v>13</v>
      </c>
      <c r="Q369" t="str">
        <f>IF(BikePurchase[[#This Row],[Purchased BikeX]]="No","Not Purchased","Purchased")</f>
        <v>Purchased</v>
      </c>
    </row>
    <row r="370" spans="1:17" x14ac:dyDescent="0.3">
      <c r="A370">
        <v>25918</v>
      </c>
      <c r="B370" t="s">
        <v>31</v>
      </c>
      <c r="C370" t="str">
        <f t="shared" si="10"/>
        <v>Single</v>
      </c>
      <c r="D370" t="s">
        <v>29</v>
      </c>
      <c r="E370" t="str">
        <f t="shared" si="11"/>
        <v>Female</v>
      </c>
      <c r="F370" s="2">
        <v>30000</v>
      </c>
      <c r="G370">
        <v>2</v>
      </c>
      <c r="H370" t="s">
        <v>16</v>
      </c>
      <c r="I370" t="s">
        <v>17</v>
      </c>
      <c r="J370" t="s">
        <v>15</v>
      </c>
      <c r="K370">
        <v>2</v>
      </c>
      <c r="L370" t="s">
        <v>20</v>
      </c>
      <c r="M370" t="s">
        <v>21</v>
      </c>
      <c r="N370" s="2">
        <v>60</v>
      </c>
      <c r="O370" t="str" cm="1">
        <f t="array" ref="O370">_xlfn.IFS(
  AND(BikePurchase[[#This Row],[Age]]&gt;=18, BikePurchase[[#This Row],[Age]]&lt;=30), "Adolescent",
  AND(BikePurchase[[#This Row],[Age]]&gt;30, BikePurchase[[#This Row],[Age]]&lt;55), "Middle Aged",
  AND(BikePurchase[[#This Row],[Age]]&gt;=55, BikePurchase[[#This Row],[Age]]&lt;90), "Old",
  TRUE, "Invalid"
)</f>
        <v>Old</v>
      </c>
      <c r="P370" t="s">
        <v>13</v>
      </c>
      <c r="Q370" t="str">
        <f>IF(BikePurchase[[#This Row],[Purchased BikeX]]="No","Not Purchased","Purchased")</f>
        <v>Purchased</v>
      </c>
    </row>
    <row r="371" spans="1:17" x14ac:dyDescent="0.3">
      <c r="A371">
        <v>25752</v>
      </c>
      <c r="B371" t="s">
        <v>31</v>
      </c>
      <c r="C371" t="str">
        <f t="shared" si="10"/>
        <v>Single</v>
      </c>
      <c r="D371" t="s">
        <v>29</v>
      </c>
      <c r="E371" t="str">
        <f t="shared" si="11"/>
        <v>Female</v>
      </c>
      <c r="F371" s="2">
        <v>20000</v>
      </c>
      <c r="G371">
        <v>2</v>
      </c>
      <c r="H371" t="s">
        <v>16</v>
      </c>
      <c r="I371" t="s">
        <v>22</v>
      </c>
      <c r="J371" t="s">
        <v>15</v>
      </c>
      <c r="K371">
        <v>1</v>
      </c>
      <c r="L371" t="s">
        <v>35</v>
      </c>
      <c r="M371" t="s">
        <v>14</v>
      </c>
      <c r="N371" s="2">
        <v>53</v>
      </c>
      <c r="O371" t="str" cm="1">
        <f t="array" ref="O371">_xlfn.IFS(
  AND(BikePurchase[[#This Row],[Age]]&gt;=18, BikePurchase[[#This Row],[Age]]&lt;=30), "Adolescent",
  AND(BikePurchase[[#This Row],[Age]]&gt;30, BikePurchase[[#This Row],[Age]]&lt;55), "Middle Aged",
  AND(BikePurchase[[#This Row],[Age]]&gt;=55, BikePurchase[[#This Row],[Age]]&lt;90), "Old",
  TRUE, "Invalid"
)</f>
        <v>Middle Aged</v>
      </c>
      <c r="P371" t="s">
        <v>13</v>
      </c>
      <c r="Q371" t="str">
        <f>IF(BikePurchase[[#This Row],[Purchased BikeX]]="No","Not Purchased","Purchased")</f>
        <v>Purchased</v>
      </c>
    </row>
    <row r="372" spans="1:17" x14ac:dyDescent="0.3">
      <c r="A372">
        <v>17324</v>
      </c>
      <c r="B372" t="s">
        <v>30</v>
      </c>
      <c r="C372" t="str">
        <f t="shared" si="10"/>
        <v>Married</v>
      </c>
      <c r="D372" t="s">
        <v>29</v>
      </c>
      <c r="E372" t="str">
        <f t="shared" si="11"/>
        <v>Female</v>
      </c>
      <c r="F372" s="2">
        <v>100000</v>
      </c>
      <c r="G372">
        <v>4</v>
      </c>
      <c r="H372" t="s">
        <v>11</v>
      </c>
      <c r="I372" t="s">
        <v>18</v>
      </c>
      <c r="J372" t="s">
        <v>13</v>
      </c>
      <c r="K372">
        <v>1</v>
      </c>
      <c r="L372" t="s">
        <v>48</v>
      </c>
      <c r="M372" t="s">
        <v>21</v>
      </c>
      <c r="N372" s="2">
        <v>46</v>
      </c>
      <c r="O372" t="str" cm="1">
        <f t="array" ref="O372">_xlfn.IFS(
  AND(BikePurchase[[#This Row],[Age]]&gt;=18, BikePurchase[[#This Row],[Age]]&lt;=30), "Adolescent",
  AND(BikePurchase[[#This Row],[Age]]&gt;30, BikePurchase[[#This Row],[Age]]&lt;55), "Middle Aged",
  AND(BikePurchase[[#This Row],[Age]]&gt;=55, BikePurchase[[#This Row],[Age]]&lt;90), "Old",
  TRUE, "Invalid"
)</f>
        <v>Middle Aged</v>
      </c>
      <c r="P372" t="s">
        <v>15</v>
      </c>
      <c r="Q372" t="str">
        <f>IF(BikePurchase[[#This Row],[Purchased BikeX]]="No","Not Purchased","Purchased")</f>
        <v>Not Purchased</v>
      </c>
    </row>
    <row r="373" spans="1:17" x14ac:dyDescent="0.3">
      <c r="A373">
        <v>22918</v>
      </c>
      <c r="B373" t="s">
        <v>31</v>
      </c>
      <c r="C373" t="str">
        <f t="shared" si="10"/>
        <v>Single</v>
      </c>
      <c r="D373" t="s">
        <v>30</v>
      </c>
      <c r="E373" t="str">
        <f t="shared" si="11"/>
        <v>Male</v>
      </c>
      <c r="F373" s="2">
        <v>80000</v>
      </c>
      <c r="G373">
        <v>5</v>
      </c>
      <c r="H373" t="s">
        <v>27</v>
      </c>
      <c r="I373" t="s">
        <v>25</v>
      </c>
      <c r="J373" t="s">
        <v>13</v>
      </c>
      <c r="K373">
        <v>3</v>
      </c>
      <c r="L373" t="s">
        <v>35</v>
      </c>
      <c r="M373" t="s">
        <v>21</v>
      </c>
      <c r="N373" s="2">
        <v>50</v>
      </c>
      <c r="O373" t="str" cm="1">
        <f t="array" ref="O373">_xlfn.IFS(
  AND(BikePurchase[[#This Row],[Age]]&gt;=18, BikePurchase[[#This Row],[Age]]&lt;=30), "Adolescent",
  AND(BikePurchase[[#This Row],[Age]]&gt;30, BikePurchase[[#This Row],[Age]]&lt;55), "Middle Aged",
  AND(BikePurchase[[#This Row],[Age]]&gt;=55, BikePurchase[[#This Row],[Age]]&lt;90), "Old",
  TRUE, "Invalid"
)</f>
        <v>Middle Aged</v>
      </c>
      <c r="P373" t="s">
        <v>15</v>
      </c>
      <c r="Q373" t="str">
        <f>IF(BikePurchase[[#This Row],[Purchased BikeX]]="No","Not Purchased","Purchased")</f>
        <v>Not Purchased</v>
      </c>
    </row>
    <row r="374" spans="1:17" x14ac:dyDescent="0.3">
      <c r="A374">
        <v>12510</v>
      </c>
      <c r="B374" t="s">
        <v>30</v>
      </c>
      <c r="C374" t="str">
        <f t="shared" si="10"/>
        <v>Married</v>
      </c>
      <c r="D374" t="s">
        <v>30</v>
      </c>
      <c r="E374" t="str">
        <f t="shared" si="11"/>
        <v>Male</v>
      </c>
      <c r="F374" s="2">
        <v>40000</v>
      </c>
      <c r="G374">
        <v>1</v>
      </c>
      <c r="H374" t="s">
        <v>11</v>
      </c>
      <c r="I374" t="s">
        <v>12</v>
      </c>
      <c r="J374" t="s">
        <v>13</v>
      </c>
      <c r="K374">
        <v>1</v>
      </c>
      <c r="L374" t="s">
        <v>35</v>
      </c>
      <c r="M374" t="s">
        <v>14</v>
      </c>
      <c r="N374" s="2">
        <v>43</v>
      </c>
      <c r="O374" t="str" cm="1">
        <f t="array" ref="O374">_xlfn.IFS(
  AND(BikePurchase[[#This Row],[Age]]&gt;=18, BikePurchase[[#This Row],[Age]]&lt;=30), "Adolescent",
  AND(BikePurchase[[#This Row],[Age]]&gt;30, BikePurchase[[#This Row],[Age]]&lt;55), "Middle Aged",
  AND(BikePurchase[[#This Row],[Age]]&gt;=55, BikePurchase[[#This Row],[Age]]&lt;90), "Old",
  TRUE, "Invalid"
)</f>
        <v>Middle Aged</v>
      </c>
      <c r="P374" t="s">
        <v>13</v>
      </c>
      <c r="Q374" t="str">
        <f>IF(BikePurchase[[#This Row],[Purchased BikeX]]="No","Not Purchased","Purchased")</f>
        <v>Purchased</v>
      </c>
    </row>
    <row r="375" spans="1:17" x14ac:dyDescent="0.3">
      <c r="A375">
        <v>25512</v>
      </c>
      <c r="B375" t="s">
        <v>31</v>
      </c>
      <c r="C375" t="str">
        <f t="shared" si="10"/>
        <v>Single</v>
      </c>
      <c r="D375" t="s">
        <v>30</v>
      </c>
      <c r="E375" t="str">
        <f t="shared" si="11"/>
        <v>Male</v>
      </c>
      <c r="F375" s="2">
        <v>20000</v>
      </c>
      <c r="G375">
        <v>0</v>
      </c>
      <c r="H375" t="s">
        <v>24</v>
      </c>
      <c r="I375" t="s">
        <v>22</v>
      </c>
      <c r="J375" t="s">
        <v>15</v>
      </c>
      <c r="K375">
        <v>1</v>
      </c>
      <c r="L375" t="s">
        <v>19</v>
      </c>
      <c r="M375" t="s">
        <v>14</v>
      </c>
      <c r="N375" s="2">
        <v>30</v>
      </c>
      <c r="O375" t="str" cm="1">
        <f t="array" ref="O375">_xlfn.IFS(
  AND(BikePurchase[[#This Row],[Age]]&gt;=18, BikePurchase[[#This Row],[Age]]&lt;=30), "Adolescent",
  AND(BikePurchase[[#This Row],[Age]]&gt;30, BikePurchase[[#This Row],[Age]]&lt;55), "Middle Aged",
  AND(BikePurchase[[#This Row],[Age]]&gt;=55, BikePurchase[[#This Row],[Age]]&lt;90), "Old",
  TRUE, "Invalid"
)</f>
        <v>Adolescent</v>
      </c>
      <c r="P375" t="s">
        <v>15</v>
      </c>
      <c r="Q375" t="str">
        <f>IF(BikePurchase[[#This Row],[Purchased BikeX]]="No","Not Purchased","Purchased")</f>
        <v>Not Purchased</v>
      </c>
    </row>
    <row r="376" spans="1:17" x14ac:dyDescent="0.3">
      <c r="A376">
        <v>16179</v>
      </c>
      <c r="B376" t="s">
        <v>31</v>
      </c>
      <c r="C376" t="str">
        <f t="shared" si="10"/>
        <v>Single</v>
      </c>
      <c r="D376" t="s">
        <v>29</v>
      </c>
      <c r="E376" t="str">
        <f t="shared" si="11"/>
        <v>Female</v>
      </c>
      <c r="F376" s="2">
        <v>80000</v>
      </c>
      <c r="G376">
        <v>5</v>
      </c>
      <c r="H376" t="s">
        <v>11</v>
      </c>
      <c r="I376" t="s">
        <v>18</v>
      </c>
      <c r="J376" t="s">
        <v>13</v>
      </c>
      <c r="K376">
        <v>4</v>
      </c>
      <c r="L376" t="s">
        <v>23</v>
      </c>
      <c r="M376" t="s">
        <v>21</v>
      </c>
      <c r="N376" s="2">
        <v>38</v>
      </c>
      <c r="O376" t="str" cm="1">
        <f t="array" ref="O376">_xlfn.IFS(
  AND(BikePurchase[[#This Row],[Age]]&gt;=18, BikePurchase[[#This Row],[Age]]&lt;=30), "Adolescent",
  AND(BikePurchase[[#This Row],[Age]]&gt;30, BikePurchase[[#This Row],[Age]]&lt;55), "Middle Aged",
  AND(BikePurchase[[#This Row],[Age]]&gt;=55, BikePurchase[[#This Row],[Age]]&lt;90), "Old",
  TRUE, "Invalid"
)</f>
        <v>Middle Aged</v>
      </c>
      <c r="P376" t="s">
        <v>15</v>
      </c>
      <c r="Q376" t="str">
        <f>IF(BikePurchase[[#This Row],[Purchased BikeX]]="No","Not Purchased","Purchased")</f>
        <v>Not Purchased</v>
      </c>
    </row>
    <row r="377" spans="1:17" x14ac:dyDescent="0.3">
      <c r="A377">
        <v>15628</v>
      </c>
      <c r="B377" t="s">
        <v>30</v>
      </c>
      <c r="C377" t="str">
        <f t="shared" si="10"/>
        <v>Married</v>
      </c>
      <c r="D377" t="s">
        <v>29</v>
      </c>
      <c r="E377" t="str">
        <f t="shared" si="11"/>
        <v>Female</v>
      </c>
      <c r="F377" s="2">
        <v>40000</v>
      </c>
      <c r="G377">
        <v>1</v>
      </c>
      <c r="H377" t="s">
        <v>11</v>
      </c>
      <c r="I377" t="s">
        <v>12</v>
      </c>
      <c r="J377" t="s">
        <v>13</v>
      </c>
      <c r="K377">
        <v>1</v>
      </c>
      <c r="L377" t="s">
        <v>35</v>
      </c>
      <c r="M377" t="s">
        <v>14</v>
      </c>
      <c r="N377" s="2">
        <v>89</v>
      </c>
      <c r="O377" t="str" cm="1">
        <f t="array" ref="O377">_xlfn.IFS(
  AND(BikePurchase[[#This Row],[Age]]&gt;=18, BikePurchase[[#This Row],[Age]]&lt;=30), "Adolescent",
  AND(BikePurchase[[#This Row],[Age]]&gt;30, BikePurchase[[#This Row],[Age]]&lt;55), "Middle Aged",
  AND(BikePurchase[[#This Row],[Age]]&gt;=55, BikePurchase[[#This Row],[Age]]&lt;90), "Old",
  TRUE, "Invalid"
)</f>
        <v>Old</v>
      </c>
      <c r="P377" t="s">
        <v>15</v>
      </c>
      <c r="Q377" t="str">
        <f>IF(BikePurchase[[#This Row],[Purchased BikeX]]="No","Not Purchased","Purchased")</f>
        <v>Not Purchased</v>
      </c>
    </row>
    <row r="378" spans="1:17" x14ac:dyDescent="0.3">
      <c r="A378">
        <v>20977</v>
      </c>
      <c r="B378" t="s">
        <v>30</v>
      </c>
      <c r="C378" t="str">
        <f t="shared" si="10"/>
        <v>Married</v>
      </c>
      <c r="D378" t="s">
        <v>30</v>
      </c>
      <c r="E378" t="str">
        <f t="shared" si="11"/>
        <v>Male</v>
      </c>
      <c r="F378" s="2">
        <v>20000</v>
      </c>
      <c r="G378">
        <v>1</v>
      </c>
      <c r="H378" t="s">
        <v>11</v>
      </c>
      <c r="I378" t="s">
        <v>17</v>
      </c>
      <c r="J378" t="s">
        <v>13</v>
      </c>
      <c r="K378">
        <v>0</v>
      </c>
      <c r="L378" t="s">
        <v>35</v>
      </c>
      <c r="M378" t="s">
        <v>14</v>
      </c>
      <c r="N378" s="2">
        <v>64</v>
      </c>
      <c r="O378" t="str" cm="1">
        <f t="array" ref="O378">_xlfn.IFS(
  AND(BikePurchase[[#This Row],[Age]]&gt;=18, BikePurchase[[#This Row],[Age]]&lt;=30), "Adolescent",
  AND(BikePurchase[[#This Row],[Age]]&gt;30, BikePurchase[[#This Row],[Age]]&lt;55), "Middle Aged",
  AND(BikePurchase[[#This Row],[Age]]&gt;=55, BikePurchase[[#This Row],[Age]]&lt;90), "Old",
  TRUE, "Invalid"
)</f>
        <v>Old</v>
      </c>
      <c r="P378" t="s">
        <v>13</v>
      </c>
      <c r="Q378" t="str">
        <f>IF(BikePurchase[[#This Row],[Purchased BikeX]]="No","Not Purchased","Purchased")</f>
        <v>Purchased</v>
      </c>
    </row>
    <row r="379" spans="1:17" x14ac:dyDescent="0.3">
      <c r="A379">
        <v>18140</v>
      </c>
      <c r="B379" t="s">
        <v>30</v>
      </c>
      <c r="C379" t="str">
        <f t="shared" si="10"/>
        <v>Married</v>
      </c>
      <c r="D379" t="s">
        <v>30</v>
      </c>
      <c r="E379" t="str">
        <f t="shared" si="11"/>
        <v>Male</v>
      </c>
      <c r="F379" s="2">
        <v>130000</v>
      </c>
      <c r="G379">
        <v>3</v>
      </c>
      <c r="H379" t="s">
        <v>16</v>
      </c>
      <c r="I379" t="s">
        <v>18</v>
      </c>
      <c r="J379" t="s">
        <v>15</v>
      </c>
      <c r="K379">
        <v>3</v>
      </c>
      <c r="L379" t="s">
        <v>20</v>
      </c>
      <c r="M379" t="s">
        <v>14</v>
      </c>
      <c r="N379" s="2">
        <v>51</v>
      </c>
      <c r="O379" t="str" cm="1">
        <f t="array" ref="O379">_xlfn.IFS(
  AND(BikePurchase[[#This Row],[Age]]&gt;=18, BikePurchase[[#This Row],[Age]]&lt;=30), "Adolescent",
  AND(BikePurchase[[#This Row],[Age]]&gt;30, BikePurchase[[#This Row],[Age]]&lt;55), "Middle Aged",
  AND(BikePurchase[[#This Row],[Age]]&gt;=55, BikePurchase[[#This Row],[Age]]&lt;90), "Old",
  TRUE, "Invalid"
)</f>
        <v>Middle Aged</v>
      </c>
      <c r="P379" t="s">
        <v>13</v>
      </c>
      <c r="Q379" t="str">
        <f>IF(BikePurchase[[#This Row],[Purchased BikeX]]="No","Not Purchased","Purchased")</f>
        <v>Purchased</v>
      </c>
    </row>
    <row r="380" spans="1:17" x14ac:dyDescent="0.3">
      <c r="A380">
        <v>20417</v>
      </c>
      <c r="B380" t="s">
        <v>30</v>
      </c>
      <c r="C380" t="str">
        <f t="shared" si="10"/>
        <v>Married</v>
      </c>
      <c r="D380" t="s">
        <v>30</v>
      </c>
      <c r="E380" t="str">
        <f t="shared" si="11"/>
        <v>Male</v>
      </c>
      <c r="F380" s="2">
        <v>30000</v>
      </c>
      <c r="G380">
        <v>3</v>
      </c>
      <c r="H380" t="s">
        <v>16</v>
      </c>
      <c r="I380" t="s">
        <v>17</v>
      </c>
      <c r="J380" t="s">
        <v>15</v>
      </c>
      <c r="K380">
        <v>2</v>
      </c>
      <c r="L380" t="s">
        <v>20</v>
      </c>
      <c r="M380" t="s">
        <v>21</v>
      </c>
      <c r="N380" s="2">
        <v>56</v>
      </c>
      <c r="O380" t="str" cm="1">
        <f t="array" ref="O380">_xlfn.IFS(
  AND(BikePurchase[[#This Row],[Age]]&gt;=18, BikePurchase[[#This Row],[Age]]&lt;=30), "Adolescent",
  AND(BikePurchase[[#This Row],[Age]]&gt;30, BikePurchase[[#This Row],[Age]]&lt;55), "Middle Aged",
  AND(BikePurchase[[#This Row],[Age]]&gt;=55, BikePurchase[[#This Row],[Age]]&lt;90), "Old",
  TRUE, "Invalid"
)</f>
        <v>Old</v>
      </c>
      <c r="P380" t="s">
        <v>15</v>
      </c>
      <c r="Q380" t="str">
        <f>IF(BikePurchase[[#This Row],[Purchased BikeX]]="No","Not Purchased","Purchased")</f>
        <v>Not Purchased</v>
      </c>
    </row>
    <row r="381" spans="1:17" x14ac:dyDescent="0.3">
      <c r="A381">
        <v>18267</v>
      </c>
      <c r="B381" t="s">
        <v>30</v>
      </c>
      <c r="C381" t="str">
        <f t="shared" si="10"/>
        <v>Married</v>
      </c>
      <c r="D381" t="s">
        <v>30</v>
      </c>
      <c r="E381" t="str">
        <f t="shared" si="11"/>
        <v>Male</v>
      </c>
      <c r="F381" s="2">
        <v>60000</v>
      </c>
      <c r="G381">
        <v>3</v>
      </c>
      <c r="H381" t="s">
        <v>11</v>
      </c>
      <c r="I381" t="s">
        <v>18</v>
      </c>
      <c r="J381" t="s">
        <v>13</v>
      </c>
      <c r="K381">
        <v>2</v>
      </c>
      <c r="L381" t="s">
        <v>20</v>
      </c>
      <c r="M381" t="s">
        <v>21</v>
      </c>
      <c r="N381" s="2">
        <v>43</v>
      </c>
      <c r="O381" t="str" cm="1">
        <f t="array" ref="O381">_xlfn.IFS(
  AND(BikePurchase[[#This Row],[Age]]&gt;=18, BikePurchase[[#This Row],[Age]]&lt;=30), "Adolescent",
  AND(BikePurchase[[#This Row],[Age]]&gt;30, BikePurchase[[#This Row],[Age]]&lt;55), "Middle Aged",
  AND(BikePurchase[[#This Row],[Age]]&gt;=55, BikePurchase[[#This Row],[Age]]&lt;90), "Old",
  TRUE, "Invalid"
)</f>
        <v>Middle Aged</v>
      </c>
      <c r="P381" t="s">
        <v>15</v>
      </c>
      <c r="Q381" t="str">
        <f>IF(BikePurchase[[#This Row],[Purchased BikeX]]="No","Not Purchased","Purchased")</f>
        <v>Not Purchased</v>
      </c>
    </row>
    <row r="382" spans="1:17" x14ac:dyDescent="0.3">
      <c r="A382">
        <v>13620</v>
      </c>
      <c r="B382" t="s">
        <v>31</v>
      </c>
      <c r="C382" t="str">
        <f t="shared" si="10"/>
        <v>Single</v>
      </c>
      <c r="D382" t="s">
        <v>30</v>
      </c>
      <c r="E382" t="str">
        <f t="shared" si="11"/>
        <v>Male</v>
      </c>
      <c r="F382" s="2">
        <v>70000</v>
      </c>
      <c r="G382">
        <v>0</v>
      </c>
      <c r="H382" t="s">
        <v>11</v>
      </c>
      <c r="I382" t="s">
        <v>18</v>
      </c>
      <c r="J382" t="s">
        <v>15</v>
      </c>
      <c r="K382">
        <v>3</v>
      </c>
      <c r="L382" t="s">
        <v>48</v>
      </c>
      <c r="M382" t="s">
        <v>21</v>
      </c>
      <c r="N382" s="2">
        <v>30</v>
      </c>
      <c r="O382" t="str" cm="1">
        <f t="array" ref="O382">_xlfn.IFS(
  AND(BikePurchase[[#This Row],[Age]]&gt;=18, BikePurchase[[#This Row],[Age]]&lt;=30), "Adolescent",
  AND(BikePurchase[[#This Row],[Age]]&gt;30, BikePurchase[[#This Row],[Age]]&lt;55), "Middle Aged",
  AND(BikePurchase[[#This Row],[Age]]&gt;=55, BikePurchase[[#This Row],[Age]]&lt;90), "Old",
  TRUE, "Invalid"
)</f>
        <v>Adolescent</v>
      </c>
      <c r="P382" t="s">
        <v>13</v>
      </c>
      <c r="Q382" t="str">
        <f>IF(BikePurchase[[#This Row],[Purchased BikeX]]="No","Not Purchased","Purchased")</f>
        <v>Purchased</v>
      </c>
    </row>
    <row r="383" spans="1:17" x14ac:dyDescent="0.3">
      <c r="A383">
        <v>22974</v>
      </c>
      <c r="B383" t="s">
        <v>30</v>
      </c>
      <c r="C383" t="str">
        <f t="shared" si="10"/>
        <v>Married</v>
      </c>
      <c r="D383" t="s">
        <v>29</v>
      </c>
      <c r="E383" t="str">
        <f t="shared" si="11"/>
        <v>Female</v>
      </c>
      <c r="F383" s="2">
        <v>30000</v>
      </c>
      <c r="G383">
        <v>2</v>
      </c>
      <c r="H383" t="s">
        <v>16</v>
      </c>
      <c r="I383" t="s">
        <v>17</v>
      </c>
      <c r="J383" t="s">
        <v>13</v>
      </c>
      <c r="K383">
        <v>2</v>
      </c>
      <c r="L383" t="s">
        <v>20</v>
      </c>
      <c r="M383" t="s">
        <v>21</v>
      </c>
      <c r="N383" s="2">
        <v>69</v>
      </c>
      <c r="O383" t="str" cm="1">
        <f t="array" ref="O383">_xlfn.IFS(
  AND(BikePurchase[[#This Row],[Age]]&gt;=18, BikePurchase[[#This Row],[Age]]&lt;=30), "Adolescent",
  AND(BikePurchase[[#This Row],[Age]]&gt;30, BikePurchase[[#This Row],[Age]]&lt;55), "Middle Aged",
  AND(BikePurchase[[#This Row],[Age]]&gt;=55, BikePurchase[[#This Row],[Age]]&lt;90), "Old",
  TRUE, "Invalid"
)</f>
        <v>Old</v>
      </c>
      <c r="P383" t="s">
        <v>15</v>
      </c>
      <c r="Q383" t="str">
        <f>IF(BikePurchase[[#This Row],[Purchased BikeX]]="No","Not Purchased","Purchased")</f>
        <v>Not Purchased</v>
      </c>
    </row>
    <row r="384" spans="1:17" x14ac:dyDescent="0.3">
      <c r="A384">
        <v>13586</v>
      </c>
      <c r="B384" t="s">
        <v>30</v>
      </c>
      <c r="C384" t="str">
        <f t="shared" si="10"/>
        <v>Married</v>
      </c>
      <c r="D384" t="s">
        <v>30</v>
      </c>
      <c r="E384" t="str">
        <f t="shared" si="11"/>
        <v>Male</v>
      </c>
      <c r="F384" s="2">
        <v>80000</v>
      </c>
      <c r="G384">
        <v>4</v>
      </c>
      <c r="H384" t="s">
        <v>16</v>
      </c>
      <c r="I384" t="s">
        <v>18</v>
      </c>
      <c r="J384" t="s">
        <v>13</v>
      </c>
      <c r="K384">
        <v>2</v>
      </c>
      <c r="L384" t="s">
        <v>48</v>
      </c>
      <c r="M384" t="s">
        <v>14</v>
      </c>
      <c r="N384" s="2">
        <v>53</v>
      </c>
      <c r="O384" t="str" cm="1">
        <f t="array" ref="O384">_xlfn.IFS(
  AND(BikePurchase[[#This Row],[Age]]&gt;=18, BikePurchase[[#This Row],[Age]]&lt;=30), "Adolescent",
  AND(BikePurchase[[#This Row],[Age]]&gt;30, BikePurchase[[#This Row],[Age]]&lt;55), "Middle Aged",
  AND(BikePurchase[[#This Row],[Age]]&gt;=55, BikePurchase[[#This Row],[Age]]&lt;90), "Old",
  TRUE, "Invalid"
)</f>
        <v>Middle Aged</v>
      </c>
      <c r="P384" t="s">
        <v>15</v>
      </c>
      <c r="Q384" t="str">
        <f>IF(BikePurchase[[#This Row],[Purchased BikeX]]="No","Not Purchased","Purchased")</f>
        <v>Not Purchased</v>
      </c>
    </row>
    <row r="385" spans="1:17" x14ac:dyDescent="0.3">
      <c r="A385">
        <v>17978</v>
      </c>
      <c r="B385" t="s">
        <v>30</v>
      </c>
      <c r="C385" t="str">
        <f t="shared" si="10"/>
        <v>Married</v>
      </c>
      <c r="D385" t="s">
        <v>30</v>
      </c>
      <c r="E385" t="str">
        <f t="shared" si="11"/>
        <v>Male</v>
      </c>
      <c r="F385" s="2">
        <v>40000</v>
      </c>
      <c r="G385">
        <v>0</v>
      </c>
      <c r="H385" t="s">
        <v>27</v>
      </c>
      <c r="I385" t="s">
        <v>17</v>
      </c>
      <c r="J385" t="s">
        <v>13</v>
      </c>
      <c r="K385">
        <v>0</v>
      </c>
      <c r="L385" t="s">
        <v>35</v>
      </c>
      <c r="M385" t="s">
        <v>14</v>
      </c>
      <c r="N385" s="2">
        <v>37</v>
      </c>
      <c r="O385" t="str" cm="1">
        <f t="array" ref="O385">_xlfn.IFS(
  AND(BikePurchase[[#This Row],[Age]]&gt;=18, BikePurchase[[#This Row],[Age]]&lt;=30), "Adolescent",
  AND(BikePurchase[[#This Row],[Age]]&gt;30, BikePurchase[[#This Row],[Age]]&lt;55), "Middle Aged",
  AND(BikePurchase[[#This Row],[Age]]&gt;=55, BikePurchase[[#This Row],[Age]]&lt;90), "Old",
  TRUE, "Invalid"
)</f>
        <v>Middle Aged</v>
      </c>
      <c r="P385" t="s">
        <v>13</v>
      </c>
      <c r="Q385" t="str">
        <f>IF(BikePurchase[[#This Row],[Purchased BikeX]]="No","Not Purchased","Purchased")</f>
        <v>Purchased</v>
      </c>
    </row>
    <row r="386" spans="1:17" x14ac:dyDescent="0.3">
      <c r="A386">
        <v>12581</v>
      </c>
      <c r="B386" t="s">
        <v>31</v>
      </c>
      <c r="C386" t="str">
        <f t="shared" ref="C386:C449" si="12">IF(B386="M","Married","Single")</f>
        <v>Single</v>
      </c>
      <c r="D386" t="s">
        <v>29</v>
      </c>
      <c r="E386" t="str">
        <f t="shared" ref="E386:E449" si="13">IF(D386="F","Female","Male")</f>
        <v>Female</v>
      </c>
      <c r="F386" s="2">
        <v>10000</v>
      </c>
      <c r="G386">
        <v>0</v>
      </c>
      <c r="H386" t="s">
        <v>16</v>
      </c>
      <c r="I386" t="s">
        <v>22</v>
      </c>
      <c r="J386" t="s">
        <v>15</v>
      </c>
      <c r="K386">
        <v>1</v>
      </c>
      <c r="L386" t="s">
        <v>35</v>
      </c>
      <c r="M386" t="s">
        <v>21</v>
      </c>
      <c r="N386" s="2">
        <v>28</v>
      </c>
      <c r="O386" t="str" cm="1">
        <f t="array" ref="O386">_xlfn.IFS(
  AND(BikePurchase[[#This Row],[Age]]&gt;=18, BikePurchase[[#This Row],[Age]]&lt;=30), "Adolescent",
  AND(BikePurchase[[#This Row],[Age]]&gt;30, BikePurchase[[#This Row],[Age]]&lt;55), "Middle Aged",
  AND(BikePurchase[[#This Row],[Age]]&gt;=55, BikePurchase[[#This Row],[Age]]&lt;90), "Old",
  TRUE, "Invalid"
)</f>
        <v>Adolescent</v>
      </c>
      <c r="P386" t="s">
        <v>13</v>
      </c>
      <c r="Q386" t="str">
        <f>IF(BikePurchase[[#This Row],[Purchased BikeX]]="No","Not Purchased","Purchased")</f>
        <v>Purchased</v>
      </c>
    </row>
    <row r="387" spans="1:17" x14ac:dyDescent="0.3">
      <c r="A387">
        <v>18018</v>
      </c>
      <c r="B387" t="s">
        <v>31</v>
      </c>
      <c r="C387" t="str">
        <f t="shared" si="12"/>
        <v>Single</v>
      </c>
      <c r="D387" t="s">
        <v>30</v>
      </c>
      <c r="E387" t="str">
        <f t="shared" si="13"/>
        <v>Male</v>
      </c>
      <c r="F387" s="2">
        <v>30000</v>
      </c>
      <c r="G387">
        <v>3</v>
      </c>
      <c r="H387" t="s">
        <v>16</v>
      </c>
      <c r="I387" t="s">
        <v>17</v>
      </c>
      <c r="J387" t="s">
        <v>13</v>
      </c>
      <c r="K387">
        <v>0</v>
      </c>
      <c r="L387" t="s">
        <v>35</v>
      </c>
      <c r="M387" t="s">
        <v>14</v>
      </c>
      <c r="N387" s="2">
        <v>43</v>
      </c>
      <c r="O387" t="str" cm="1">
        <f t="array" ref="O387">_xlfn.IFS(
  AND(BikePurchase[[#This Row],[Age]]&gt;=18, BikePurchase[[#This Row],[Age]]&lt;=30), "Adolescent",
  AND(BikePurchase[[#This Row],[Age]]&gt;30, BikePurchase[[#This Row],[Age]]&lt;55), "Middle Aged",
  AND(BikePurchase[[#This Row],[Age]]&gt;=55, BikePurchase[[#This Row],[Age]]&lt;90), "Old",
  TRUE, "Invalid"
)</f>
        <v>Middle Aged</v>
      </c>
      <c r="P387" t="s">
        <v>15</v>
      </c>
      <c r="Q387" t="str">
        <f>IF(BikePurchase[[#This Row],[Purchased BikeX]]="No","Not Purchased","Purchased")</f>
        <v>Not Purchased</v>
      </c>
    </row>
    <row r="388" spans="1:17" x14ac:dyDescent="0.3">
      <c r="A388">
        <v>28957</v>
      </c>
      <c r="B388" t="s">
        <v>31</v>
      </c>
      <c r="C388" t="str">
        <f t="shared" si="12"/>
        <v>Single</v>
      </c>
      <c r="D388" t="s">
        <v>29</v>
      </c>
      <c r="E388" t="str">
        <f t="shared" si="13"/>
        <v>Female</v>
      </c>
      <c r="F388" s="2">
        <v>120000</v>
      </c>
      <c r="G388">
        <v>0</v>
      </c>
      <c r="H388" t="s">
        <v>26</v>
      </c>
      <c r="I388" t="s">
        <v>18</v>
      </c>
      <c r="J388" t="s">
        <v>13</v>
      </c>
      <c r="K388">
        <v>4</v>
      </c>
      <c r="L388" t="s">
        <v>48</v>
      </c>
      <c r="M388" t="s">
        <v>21</v>
      </c>
      <c r="N388" s="2">
        <v>34</v>
      </c>
      <c r="O388" t="str" cm="1">
        <f t="array" ref="O388">_xlfn.IFS(
  AND(BikePurchase[[#This Row],[Age]]&gt;=18, BikePurchase[[#This Row],[Age]]&lt;=30), "Adolescent",
  AND(BikePurchase[[#This Row],[Age]]&gt;30, BikePurchase[[#This Row],[Age]]&lt;55), "Middle Aged",
  AND(BikePurchase[[#This Row],[Age]]&gt;=55, BikePurchase[[#This Row],[Age]]&lt;90), "Old",
  TRUE, "Invalid"
)</f>
        <v>Middle Aged</v>
      </c>
      <c r="P388" t="s">
        <v>13</v>
      </c>
      <c r="Q388" t="str">
        <f>IF(BikePurchase[[#This Row],[Purchased BikeX]]="No","Not Purchased","Purchased")</f>
        <v>Purchased</v>
      </c>
    </row>
    <row r="389" spans="1:17" x14ac:dyDescent="0.3">
      <c r="A389">
        <v>13690</v>
      </c>
      <c r="B389" t="s">
        <v>31</v>
      </c>
      <c r="C389" t="str">
        <f t="shared" si="12"/>
        <v>Single</v>
      </c>
      <c r="D389" t="s">
        <v>29</v>
      </c>
      <c r="E389" t="str">
        <f t="shared" si="13"/>
        <v>Female</v>
      </c>
      <c r="F389" s="2">
        <v>20000</v>
      </c>
      <c r="G389">
        <v>0</v>
      </c>
      <c r="H389" t="s">
        <v>26</v>
      </c>
      <c r="I389" t="s">
        <v>22</v>
      </c>
      <c r="J389" t="s">
        <v>15</v>
      </c>
      <c r="K389">
        <v>2</v>
      </c>
      <c r="L389" t="s">
        <v>23</v>
      </c>
      <c r="M389" t="s">
        <v>14</v>
      </c>
      <c r="N389" s="2">
        <v>34</v>
      </c>
      <c r="O389" t="str" cm="1">
        <f t="array" ref="O389">_xlfn.IFS(
  AND(BikePurchase[[#This Row],[Age]]&gt;=18, BikePurchase[[#This Row],[Age]]&lt;=30), "Adolescent",
  AND(BikePurchase[[#This Row],[Age]]&gt;30, BikePurchase[[#This Row],[Age]]&lt;55), "Middle Aged",
  AND(BikePurchase[[#This Row],[Age]]&gt;=55, BikePurchase[[#This Row],[Age]]&lt;90), "Old",
  TRUE, "Invalid"
)</f>
        <v>Middle Aged</v>
      </c>
      <c r="P389" t="s">
        <v>13</v>
      </c>
      <c r="Q389" t="str">
        <f>IF(BikePurchase[[#This Row],[Purchased BikeX]]="No","Not Purchased","Purchased")</f>
        <v>Purchased</v>
      </c>
    </row>
    <row r="390" spans="1:17" x14ac:dyDescent="0.3">
      <c r="A390">
        <v>12568</v>
      </c>
      <c r="B390" t="s">
        <v>30</v>
      </c>
      <c r="C390" t="str">
        <f t="shared" si="12"/>
        <v>Married</v>
      </c>
      <c r="D390" t="s">
        <v>29</v>
      </c>
      <c r="E390" t="str">
        <f t="shared" si="13"/>
        <v>Female</v>
      </c>
      <c r="F390" s="2">
        <v>30000</v>
      </c>
      <c r="G390">
        <v>1</v>
      </c>
      <c r="H390" t="s">
        <v>11</v>
      </c>
      <c r="I390" t="s">
        <v>17</v>
      </c>
      <c r="J390" t="s">
        <v>13</v>
      </c>
      <c r="K390">
        <v>0</v>
      </c>
      <c r="L390" t="s">
        <v>35</v>
      </c>
      <c r="M390" t="s">
        <v>14</v>
      </c>
      <c r="N390" s="2">
        <v>64</v>
      </c>
      <c r="O390" t="str" cm="1">
        <f t="array" ref="O390">_xlfn.IFS(
  AND(BikePurchase[[#This Row],[Age]]&gt;=18, BikePurchase[[#This Row],[Age]]&lt;=30), "Adolescent",
  AND(BikePurchase[[#This Row],[Age]]&gt;30, BikePurchase[[#This Row],[Age]]&lt;55), "Middle Aged",
  AND(BikePurchase[[#This Row],[Age]]&gt;=55, BikePurchase[[#This Row],[Age]]&lt;90), "Old",
  TRUE, "Invalid"
)</f>
        <v>Old</v>
      </c>
      <c r="P390" t="s">
        <v>15</v>
      </c>
      <c r="Q390" t="str">
        <f>IF(BikePurchase[[#This Row],[Purchased BikeX]]="No","Not Purchased","Purchased")</f>
        <v>Not Purchased</v>
      </c>
    </row>
    <row r="391" spans="1:17" x14ac:dyDescent="0.3">
      <c r="A391">
        <v>13122</v>
      </c>
      <c r="B391" t="s">
        <v>30</v>
      </c>
      <c r="C391" t="str">
        <f t="shared" si="12"/>
        <v>Married</v>
      </c>
      <c r="D391" t="s">
        <v>29</v>
      </c>
      <c r="E391" t="str">
        <f t="shared" si="13"/>
        <v>Female</v>
      </c>
      <c r="F391" s="2">
        <v>80000</v>
      </c>
      <c r="G391">
        <v>0</v>
      </c>
      <c r="H391" t="s">
        <v>11</v>
      </c>
      <c r="I391" t="s">
        <v>18</v>
      </c>
      <c r="J391" t="s">
        <v>13</v>
      </c>
      <c r="K391">
        <v>1</v>
      </c>
      <c r="L391" t="s">
        <v>23</v>
      </c>
      <c r="M391" t="s">
        <v>21</v>
      </c>
      <c r="N391" s="2">
        <v>41</v>
      </c>
      <c r="O391" t="str" cm="1">
        <f t="array" ref="O391">_xlfn.IFS(
  AND(BikePurchase[[#This Row],[Age]]&gt;=18, BikePurchase[[#This Row],[Age]]&lt;=30), "Adolescent",
  AND(BikePurchase[[#This Row],[Age]]&gt;30, BikePurchase[[#This Row],[Age]]&lt;55), "Middle Aged",
  AND(BikePurchase[[#This Row],[Age]]&gt;=55, BikePurchase[[#This Row],[Age]]&lt;90), "Old",
  TRUE, "Invalid"
)</f>
        <v>Middle Aged</v>
      </c>
      <c r="P391" t="s">
        <v>13</v>
      </c>
      <c r="Q391" t="str">
        <f>IF(BikePurchase[[#This Row],[Purchased BikeX]]="No","Not Purchased","Purchased")</f>
        <v>Purchased</v>
      </c>
    </row>
    <row r="392" spans="1:17" x14ac:dyDescent="0.3">
      <c r="A392">
        <v>21184</v>
      </c>
      <c r="B392" t="s">
        <v>31</v>
      </c>
      <c r="C392" t="str">
        <f t="shared" si="12"/>
        <v>Single</v>
      </c>
      <c r="D392" t="s">
        <v>30</v>
      </c>
      <c r="E392" t="str">
        <f t="shared" si="13"/>
        <v>Male</v>
      </c>
      <c r="F392" s="2">
        <v>70000</v>
      </c>
      <c r="G392">
        <v>0</v>
      </c>
      <c r="H392" t="s">
        <v>11</v>
      </c>
      <c r="I392" t="s">
        <v>18</v>
      </c>
      <c r="J392" t="s">
        <v>15</v>
      </c>
      <c r="K392">
        <v>1</v>
      </c>
      <c r="L392" t="s">
        <v>20</v>
      </c>
      <c r="M392" t="s">
        <v>21</v>
      </c>
      <c r="N392" s="2">
        <v>38</v>
      </c>
      <c r="O392" t="str" cm="1">
        <f t="array" ref="O392">_xlfn.IFS(
  AND(BikePurchase[[#This Row],[Age]]&gt;=18, BikePurchase[[#This Row],[Age]]&lt;=30), "Adolescent",
  AND(BikePurchase[[#This Row],[Age]]&gt;30, BikePurchase[[#This Row],[Age]]&lt;55), "Middle Aged",
  AND(BikePurchase[[#This Row],[Age]]&gt;=55, BikePurchase[[#This Row],[Age]]&lt;90), "Old",
  TRUE, "Invalid"
)</f>
        <v>Middle Aged</v>
      </c>
      <c r="P392" t="s">
        <v>15</v>
      </c>
      <c r="Q392" t="str">
        <f>IF(BikePurchase[[#This Row],[Purchased BikeX]]="No","Not Purchased","Purchased")</f>
        <v>Not Purchased</v>
      </c>
    </row>
    <row r="393" spans="1:17" x14ac:dyDescent="0.3">
      <c r="A393">
        <v>26150</v>
      </c>
      <c r="B393" t="s">
        <v>31</v>
      </c>
      <c r="C393" t="str">
        <f t="shared" si="12"/>
        <v>Single</v>
      </c>
      <c r="D393" t="s">
        <v>29</v>
      </c>
      <c r="E393" t="str">
        <f t="shared" si="13"/>
        <v>Female</v>
      </c>
      <c r="F393" s="2">
        <v>70000</v>
      </c>
      <c r="G393">
        <v>0</v>
      </c>
      <c r="H393" t="s">
        <v>11</v>
      </c>
      <c r="I393" t="s">
        <v>18</v>
      </c>
      <c r="J393" t="s">
        <v>15</v>
      </c>
      <c r="K393">
        <v>1</v>
      </c>
      <c r="L393" t="s">
        <v>35</v>
      </c>
      <c r="M393" t="s">
        <v>21</v>
      </c>
      <c r="N393" s="2">
        <v>41</v>
      </c>
      <c r="O393" t="str" cm="1">
        <f t="array" ref="O393">_xlfn.IFS(
  AND(BikePurchase[[#This Row],[Age]]&gt;=18, BikePurchase[[#This Row],[Age]]&lt;=30), "Adolescent",
  AND(BikePurchase[[#This Row],[Age]]&gt;30, BikePurchase[[#This Row],[Age]]&lt;55), "Middle Aged",
  AND(BikePurchase[[#This Row],[Age]]&gt;=55, BikePurchase[[#This Row],[Age]]&lt;90), "Old",
  TRUE, "Invalid"
)</f>
        <v>Middle Aged</v>
      </c>
      <c r="P393" t="s">
        <v>13</v>
      </c>
      <c r="Q393" t="str">
        <f>IF(BikePurchase[[#This Row],[Purchased BikeX]]="No","Not Purchased","Purchased")</f>
        <v>Purchased</v>
      </c>
    </row>
    <row r="394" spans="1:17" x14ac:dyDescent="0.3">
      <c r="A394">
        <v>24151</v>
      </c>
      <c r="B394" t="s">
        <v>31</v>
      </c>
      <c r="C394" t="str">
        <f t="shared" si="12"/>
        <v>Single</v>
      </c>
      <c r="D394" t="s">
        <v>30</v>
      </c>
      <c r="E394" t="str">
        <f t="shared" si="13"/>
        <v>Male</v>
      </c>
      <c r="F394" s="2">
        <v>20000</v>
      </c>
      <c r="G394">
        <v>1</v>
      </c>
      <c r="H394" t="s">
        <v>11</v>
      </c>
      <c r="I394" t="s">
        <v>17</v>
      </c>
      <c r="J394" t="s">
        <v>15</v>
      </c>
      <c r="K394">
        <v>0</v>
      </c>
      <c r="L394" t="s">
        <v>35</v>
      </c>
      <c r="M394" t="s">
        <v>14</v>
      </c>
      <c r="N394" s="2">
        <v>51</v>
      </c>
      <c r="O394" t="str" cm="1">
        <f t="array" ref="O394">_xlfn.IFS(
  AND(BikePurchase[[#This Row],[Age]]&gt;=18, BikePurchase[[#This Row],[Age]]&lt;=30), "Adolescent",
  AND(BikePurchase[[#This Row],[Age]]&gt;30, BikePurchase[[#This Row],[Age]]&lt;55), "Middle Aged",
  AND(BikePurchase[[#This Row],[Age]]&gt;=55, BikePurchase[[#This Row],[Age]]&lt;90), "Old",
  TRUE, "Invalid"
)</f>
        <v>Middle Aged</v>
      </c>
      <c r="P394" t="s">
        <v>15</v>
      </c>
      <c r="Q394" t="str">
        <f>IF(BikePurchase[[#This Row],[Purchased BikeX]]="No","Not Purchased","Purchased")</f>
        <v>Not Purchased</v>
      </c>
    </row>
    <row r="395" spans="1:17" x14ac:dyDescent="0.3">
      <c r="A395">
        <v>23962</v>
      </c>
      <c r="B395" t="s">
        <v>30</v>
      </c>
      <c r="C395" t="str">
        <f t="shared" si="12"/>
        <v>Married</v>
      </c>
      <c r="D395" t="s">
        <v>29</v>
      </c>
      <c r="E395" t="str">
        <f t="shared" si="13"/>
        <v>Female</v>
      </c>
      <c r="F395" s="2">
        <v>10000</v>
      </c>
      <c r="G395">
        <v>0</v>
      </c>
      <c r="H395" t="s">
        <v>26</v>
      </c>
      <c r="I395" t="s">
        <v>22</v>
      </c>
      <c r="J395" t="s">
        <v>13</v>
      </c>
      <c r="K395">
        <v>2</v>
      </c>
      <c r="L395" t="s">
        <v>23</v>
      </c>
      <c r="M395" t="s">
        <v>14</v>
      </c>
      <c r="N395" s="2">
        <v>32</v>
      </c>
      <c r="O395" t="str" cm="1">
        <f t="array" ref="O395">_xlfn.IFS(
  AND(BikePurchase[[#This Row],[Age]]&gt;=18, BikePurchase[[#This Row],[Age]]&lt;=30), "Adolescent",
  AND(BikePurchase[[#This Row],[Age]]&gt;30, BikePurchase[[#This Row],[Age]]&lt;55), "Middle Aged",
  AND(BikePurchase[[#This Row],[Age]]&gt;=55, BikePurchase[[#This Row],[Age]]&lt;90), "Old",
  TRUE, "Invalid"
)</f>
        <v>Middle Aged</v>
      </c>
      <c r="P395" t="s">
        <v>15</v>
      </c>
      <c r="Q395" t="str">
        <f>IF(BikePurchase[[#This Row],[Purchased BikeX]]="No","Not Purchased","Purchased")</f>
        <v>Not Purchased</v>
      </c>
    </row>
    <row r="396" spans="1:17" x14ac:dyDescent="0.3">
      <c r="A396">
        <v>17793</v>
      </c>
      <c r="B396" t="s">
        <v>30</v>
      </c>
      <c r="C396" t="str">
        <f t="shared" si="12"/>
        <v>Married</v>
      </c>
      <c r="D396" t="s">
        <v>29</v>
      </c>
      <c r="E396" t="str">
        <f t="shared" si="13"/>
        <v>Female</v>
      </c>
      <c r="F396" s="2">
        <v>40000</v>
      </c>
      <c r="G396">
        <v>0</v>
      </c>
      <c r="H396" t="s">
        <v>11</v>
      </c>
      <c r="I396" t="s">
        <v>17</v>
      </c>
      <c r="J396" t="s">
        <v>13</v>
      </c>
      <c r="K396">
        <v>0</v>
      </c>
      <c r="L396" t="s">
        <v>35</v>
      </c>
      <c r="M396" t="s">
        <v>14</v>
      </c>
      <c r="N396" s="2">
        <v>38</v>
      </c>
      <c r="O396" t="str" cm="1">
        <f t="array" ref="O396">_xlfn.IFS(
  AND(BikePurchase[[#This Row],[Age]]&gt;=18, BikePurchase[[#This Row],[Age]]&lt;=30), "Adolescent",
  AND(BikePurchase[[#This Row],[Age]]&gt;30, BikePurchase[[#This Row],[Age]]&lt;55), "Middle Aged",
  AND(BikePurchase[[#This Row],[Age]]&gt;=55, BikePurchase[[#This Row],[Age]]&lt;90), "Old",
  TRUE, "Invalid"
)</f>
        <v>Middle Aged</v>
      </c>
      <c r="P396" t="s">
        <v>13</v>
      </c>
      <c r="Q396" t="str">
        <f>IF(BikePurchase[[#This Row],[Purchased BikeX]]="No","Not Purchased","Purchased")</f>
        <v>Purchased</v>
      </c>
    </row>
    <row r="397" spans="1:17" x14ac:dyDescent="0.3">
      <c r="A397">
        <v>14926</v>
      </c>
      <c r="B397" t="s">
        <v>30</v>
      </c>
      <c r="C397" t="str">
        <f t="shared" si="12"/>
        <v>Married</v>
      </c>
      <c r="D397" t="s">
        <v>30</v>
      </c>
      <c r="E397" t="str">
        <f t="shared" si="13"/>
        <v>Male</v>
      </c>
      <c r="F397" s="2">
        <v>30000</v>
      </c>
      <c r="G397">
        <v>1</v>
      </c>
      <c r="H397" t="s">
        <v>11</v>
      </c>
      <c r="I397" t="s">
        <v>17</v>
      </c>
      <c r="J397" t="s">
        <v>13</v>
      </c>
      <c r="K397">
        <v>0</v>
      </c>
      <c r="L397" t="s">
        <v>35</v>
      </c>
      <c r="M397" t="s">
        <v>14</v>
      </c>
      <c r="N397" s="2">
        <v>38</v>
      </c>
      <c r="O397" t="str" cm="1">
        <f t="array" ref="O397">_xlfn.IFS(
  AND(BikePurchase[[#This Row],[Age]]&gt;=18, BikePurchase[[#This Row],[Age]]&lt;=30), "Adolescent",
  AND(BikePurchase[[#This Row],[Age]]&gt;30, BikePurchase[[#This Row],[Age]]&lt;55), "Middle Aged",
  AND(BikePurchase[[#This Row],[Age]]&gt;=55, BikePurchase[[#This Row],[Age]]&lt;90), "Old",
  TRUE, "Invalid"
)</f>
        <v>Middle Aged</v>
      </c>
      <c r="P397" t="s">
        <v>13</v>
      </c>
      <c r="Q397" t="str">
        <f>IF(BikePurchase[[#This Row],[Purchased BikeX]]="No","Not Purchased","Purchased")</f>
        <v>Purchased</v>
      </c>
    </row>
    <row r="398" spans="1:17" x14ac:dyDescent="0.3">
      <c r="A398">
        <v>16163</v>
      </c>
      <c r="B398" t="s">
        <v>31</v>
      </c>
      <c r="C398" t="str">
        <f t="shared" si="12"/>
        <v>Single</v>
      </c>
      <c r="D398" t="s">
        <v>30</v>
      </c>
      <c r="E398" t="str">
        <f t="shared" si="13"/>
        <v>Male</v>
      </c>
      <c r="F398" s="2">
        <v>60000</v>
      </c>
      <c r="G398">
        <v>2</v>
      </c>
      <c r="H398" t="s">
        <v>11</v>
      </c>
      <c r="I398" t="s">
        <v>18</v>
      </c>
      <c r="J398" t="s">
        <v>13</v>
      </c>
      <c r="K398">
        <v>1</v>
      </c>
      <c r="L398" t="s">
        <v>19</v>
      </c>
      <c r="M398" t="s">
        <v>21</v>
      </c>
      <c r="N398" s="2">
        <v>38</v>
      </c>
      <c r="O398" t="str" cm="1">
        <f t="array" ref="O398">_xlfn.IFS(
  AND(BikePurchase[[#This Row],[Age]]&gt;=18, BikePurchase[[#This Row],[Age]]&lt;=30), "Adolescent",
  AND(BikePurchase[[#This Row],[Age]]&gt;30, BikePurchase[[#This Row],[Age]]&lt;55), "Middle Aged",
  AND(BikePurchase[[#This Row],[Age]]&gt;=55, BikePurchase[[#This Row],[Age]]&lt;90), "Old",
  TRUE, "Invalid"
)</f>
        <v>Middle Aged</v>
      </c>
      <c r="P398" t="s">
        <v>13</v>
      </c>
      <c r="Q398" t="str">
        <f>IF(BikePurchase[[#This Row],[Purchased BikeX]]="No","Not Purchased","Purchased")</f>
        <v>Purchased</v>
      </c>
    </row>
    <row r="399" spans="1:17" x14ac:dyDescent="0.3">
      <c r="A399">
        <v>21365</v>
      </c>
      <c r="B399" t="s">
        <v>30</v>
      </c>
      <c r="C399" t="str">
        <f t="shared" si="12"/>
        <v>Married</v>
      </c>
      <c r="D399" t="s">
        <v>29</v>
      </c>
      <c r="E399" t="str">
        <f t="shared" si="13"/>
        <v>Female</v>
      </c>
      <c r="F399" s="2">
        <v>10000</v>
      </c>
      <c r="G399">
        <v>2</v>
      </c>
      <c r="H399" t="s">
        <v>26</v>
      </c>
      <c r="I399" t="s">
        <v>17</v>
      </c>
      <c r="J399" t="s">
        <v>13</v>
      </c>
      <c r="K399">
        <v>2</v>
      </c>
      <c r="L399" t="s">
        <v>20</v>
      </c>
      <c r="M399" t="s">
        <v>21</v>
      </c>
      <c r="N399" s="2">
        <v>58</v>
      </c>
      <c r="O399" t="str" cm="1">
        <f t="array" ref="O399">_xlfn.IFS(
  AND(BikePurchase[[#This Row],[Age]]&gt;=18, BikePurchase[[#This Row],[Age]]&lt;=30), "Adolescent",
  AND(BikePurchase[[#This Row],[Age]]&gt;30, BikePurchase[[#This Row],[Age]]&lt;55), "Middle Aged",
  AND(BikePurchase[[#This Row],[Age]]&gt;=55, BikePurchase[[#This Row],[Age]]&lt;90), "Old",
  TRUE, "Invalid"
)</f>
        <v>Old</v>
      </c>
      <c r="P399" t="s">
        <v>15</v>
      </c>
      <c r="Q399" t="str">
        <f>IF(BikePurchase[[#This Row],[Purchased BikeX]]="No","Not Purchased","Purchased")</f>
        <v>Not Purchased</v>
      </c>
    </row>
    <row r="400" spans="1:17" x14ac:dyDescent="0.3">
      <c r="A400">
        <v>27771</v>
      </c>
      <c r="B400" t="s">
        <v>31</v>
      </c>
      <c r="C400" t="str">
        <f t="shared" si="12"/>
        <v>Single</v>
      </c>
      <c r="D400" t="s">
        <v>30</v>
      </c>
      <c r="E400" t="str">
        <f t="shared" si="13"/>
        <v>Male</v>
      </c>
      <c r="F400" s="2">
        <v>30000</v>
      </c>
      <c r="G400">
        <v>1</v>
      </c>
      <c r="H400" t="s">
        <v>11</v>
      </c>
      <c r="I400" t="s">
        <v>17</v>
      </c>
      <c r="J400" t="s">
        <v>13</v>
      </c>
      <c r="K400">
        <v>1</v>
      </c>
      <c r="L400" t="s">
        <v>23</v>
      </c>
      <c r="M400" t="s">
        <v>14</v>
      </c>
      <c r="N400" s="2">
        <v>39</v>
      </c>
      <c r="O400" t="str" cm="1">
        <f t="array" ref="O400">_xlfn.IFS(
  AND(BikePurchase[[#This Row],[Age]]&gt;=18, BikePurchase[[#This Row],[Age]]&lt;=30), "Adolescent",
  AND(BikePurchase[[#This Row],[Age]]&gt;30, BikePurchase[[#This Row],[Age]]&lt;55), "Middle Aged",
  AND(BikePurchase[[#This Row],[Age]]&gt;=55, BikePurchase[[#This Row],[Age]]&lt;90), "Old",
  TRUE, "Invalid"
)</f>
        <v>Middle Aged</v>
      </c>
      <c r="P400" t="s">
        <v>13</v>
      </c>
      <c r="Q400" t="str">
        <f>IF(BikePurchase[[#This Row],[Purchased BikeX]]="No","Not Purchased","Purchased")</f>
        <v>Purchased</v>
      </c>
    </row>
    <row r="401" spans="1:17" x14ac:dyDescent="0.3">
      <c r="A401">
        <v>26167</v>
      </c>
      <c r="B401" t="s">
        <v>31</v>
      </c>
      <c r="C401" t="str">
        <f t="shared" si="12"/>
        <v>Single</v>
      </c>
      <c r="D401" t="s">
        <v>29</v>
      </c>
      <c r="E401" t="str">
        <f t="shared" si="13"/>
        <v>Female</v>
      </c>
      <c r="F401" s="2">
        <v>40000</v>
      </c>
      <c r="G401">
        <v>2</v>
      </c>
      <c r="H401" t="s">
        <v>11</v>
      </c>
      <c r="I401" t="s">
        <v>25</v>
      </c>
      <c r="J401" t="s">
        <v>15</v>
      </c>
      <c r="K401">
        <v>1</v>
      </c>
      <c r="L401" t="s">
        <v>20</v>
      </c>
      <c r="M401" t="s">
        <v>21</v>
      </c>
      <c r="N401" s="2">
        <v>53</v>
      </c>
      <c r="O401" t="str" cm="1">
        <f t="array" ref="O401">_xlfn.IFS(
  AND(BikePurchase[[#This Row],[Age]]&gt;=18, BikePurchase[[#This Row],[Age]]&lt;=30), "Adolescent",
  AND(BikePurchase[[#This Row],[Age]]&gt;30, BikePurchase[[#This Row],[Age]]&lt;55), "Middle Aged",
  AND(BikePurchase[[#This Row],[Age]]&gt;=55, BikePurchase[[#This Row],[Age]]&lt;90), "Old",
  TRUE, "Invalid"
)</f>
        <v>Middle Aged</v>
      </c>
      <c r="P401" t="s">
        <v>13</v>
      </c>
      <c r="Q401" t="str">
        <f>IF(BikePurchase[[#This Row],[Purchased BikeX]]="No","Not Purchased","Purchased")</f>
        <v>Purchased</v>
      </c>
    </row>
    <row r="402" spans="1:17" x14ac:dyDescent="0.3">
      <c r="A402">
        <v>25792</v>
      </c>
      <c r="B402" t="s">
        <v>31</v>
      </c>
      <c r="C402" t="str">
        <f t="shared" si="12"/>
        <v>Single</v>
      </c>
      <c r="D402" t="s">
        <v>29</v>
      </c>
      <c r="E402" t="str">
        <f t="shared" si="13"/>
        <v>Female</v>
      </c>
      <c r="F402" s="2">
        <v>110000</v>
      </c>
      <c r="G402">
        <v>3</v>
      </c>
      <c r="H402" t="s">
        <v>11</v>
      </c>
      <c r="I402" t="s">
        <v>25</v>
      </c>
      <c r="J402" t="s">
        <v>13</v>
      </c>
      <c r="K402">
        <v>4</v>
      </c>
      <c r="L402" t="s">
        <v>48</v>
      </c>
      <c r="M402" t="s">
        <v>14</v>
      </c>
      <c r="N402" s="2">
        <v>53</v>
      </c>
      <c r="O402" t="str" cm="1">
        <f t="array" ref="O402">_xlfn.IFS(
  AND(BikePurchase[[#This Row],[Age]]&gt;=18, BikePurchase[[#This Row],[Age]]&lt;=30), "Adolescent",
  AND(BikePurchase[[#This Row],[Age]]&gt;30, BikePurchase[[#This Row],[Age]]&lt;55), "Middle Aged",
  AND(BikePurchase[[#This Row],[Age]]&gt;=55, BikePurchase[[#This Row],[Age]]&lt;90), "Old",
  TRUE, "Invalid"
)</f>
        <v>Middle Aged</v>
      </c>
      <c r="P402" t="s">
        <v>15</v>
      </c>
      <c r="Q402" t="str">
        <f>IF(BikePurchase[[#This Row],[Purchased BikeX]]="No","Not Purchased","Purchased")</f>
        <v>Not Purchased</v>
      </c>
    </row>
    <row r="403" spans="1:17" x14ac:dyDescent="0.3">
      <c r="A403">
        <v>11555</v>
      </c>
      <c r="B403" t="s">
        <v>30</v>
      </c>
      <c r="C403" t="str">
        <f t="shared" si="12"/>
        <v>Married</v>
      </c>
      <c r="D403" t="s">
        <v>29</v>
      </c>
      <c r="E403" t="str">
        <f t="shared" si="13"/>
        <v>Female</v>
      </c>
      <c r="F403" s="2">
        <v>40000</v>
      </c>
      <c r="G403">
        <v>1</v>
      </c>
      <c r="H403" t="s">
        <v>11</v>
      </c>
      <c r="I403" t="s">
        <v>17</v>
      </c>
      <c r="J403" t="s">
        <v>13</v>
      </c>
      <c r="K403">
        <v>0</v>
      </c>
      <c r="L403" t="s">
        <v>35</v>
      </c>
      <c r="M403" t="s">
        <v>14</v>
      </c>
      <c r="N403" s="2">
        <v>80</v>
      </c>
      <c r="O403" t="str" cm="1">
        <f t="array" ref="O403">_xlfn.IFS(
  AND(BikePurchase[[#This Row],[Age]]&gt;=18, BikePurchase[[#This Row],[Age]]&lt;=30), "Adolescent",
  AND(BikePurchase[[#This Row],[Age]]&gt;30, BikePurchase[[#This Row],[Age]]&lt;55), "Middle Aged",
  AND(BikePurchase[[#This Row],[Age]]&gt;=55, BikePurchase[[#This Row],[Age]]&lt;90), "Old",
  TRUE, "Invalid"
)</f>
        <v>Old</v>
      </c>
      <c r="P403" t="s">
        <v>15</v>
      </c>
      <c r="Q403" t="str">
        <f>IF(BikePurchase[[#This Row],[Purchased BikeX]]="No","Not Purchased","Purchased")</f>
        <v>Not Purchased</v>
      </c>
    </row>
    <row r="404" spans="1:17" x14ac:dyDescent="0.3">
      <c r="A404">
        <v>22381</v>
      </c>
      <c r="B404" t="s">
        <v>30</v>
      </c>
      <c r="C404" t="str">
        <f t="shared" si="12"/>
        <v>Married</v>
      </c>
      <c r="D404" t="s">
        <v>30</v>
      </c>
      <c r="E404" t="str">
        <f t="shared" si="13"/>
        <v>Male</v>
      </c>
      <c r="F404" s="2">
        <v>10000</v>
      </c>
      <c r="G404">
        <v>1</v>
      </c>
      <c r="H404" t="s">
        <v>27</v>
      </c>
      <c r="I404" t="s">
        <v>22</v>
      </c>
      <c r="J404" t="s">
        <v>13</v>
      </c>
      <c r="K404">
        <v>0</v>
      </c>
      <c r="L404" t="s">
        <v>35</v>
      </c>
      <c r="M404" t="s">
        <v>14</v>
      </c>
      <c r="N404" s="2">
        <v>44</v>
      </c>
      <c r="O404" t="str" cm="1">
        <f t="array" ref="O404">_xlfn.IFS(
  AND(BikePurchase[[#This Row],[Age]]&gt;=18, BikePurchase[[#This Row],[Age]]&lt;=30), "Adolescent",
  AND(BikePurchase[[#This Row],[Age]]&gt;30, BikePurchase[[#This Row],[Age]]&lt;55), "Middle Aged",
  AND(BikePurchase[[#This Row],[Age]]&gt;=55, BikePurchase[[#This Row],[Age]]&lt;90), "Old",
  TRUE, "Invalid"
)</f>
        <v>Middle Aged</v>
      </c>
      <c r="P404" t="s">
        <v>15</v>
      </c>
      <c r="Q404" t="str">
        <f>IF(BikePurchase[[#This Row],[Purchased BikeX]]="No","Not Purchased","Purchased")</f>
        <v>Not Purchased</v>
      </c>
    </row>
    <row r="405" spans="1:17" x14ac:dyDescent="0.3">
      <c r="A405">
        <v>17882</v>
      </c>
      <c r="B405" t="s">
        <v>30</v>
      </c>
      <c r="C405" t="str">
        <f t="shared" si="12"/>
        <v>Married</v>
      </c>
      <c r="D405" t="s">
        <v>30</v>
      </c>
      <c r="E405" t="str">
        <f t="shared" si="13"/>
        <v>Male</v>
      </c>
      <c r="F405" s="2">
        <v>20000</v>
      </c>
      <c r="G405">
        <v>1</v>
      </c>
      <c r="H405" t="s">
        <v>27</v>
      </c>
      <c r="I405" t="s">
        <v>17</v>
      </c>
      <c r="J405" t="s">
        <v>13</v>
      </c>
      <c r="K405">
        <v>0</v>
      </c>
      <c r="L405" t="s">
        <v>35</v>
      </c>
      <c r="M405" t="s">
        <v>14</v>
      </c>
      <c r="N405" s="2">
        <v>44</v>
      </c>
      <c r="O405" t="str" cm="1">
        <f t="array" ref="O405">_xlfn.IFS(
  AND(BikePurchase[[#This Row],[Age]]&gt;=18, BikePurchase[[#This Row],[Age]]&lt;=30), "Adolescent",
  AND(BikePurchase[[#This Row],[Age]]&gt;30, BikePurchase[[#This Row],[Age]]&lt;55), "Middle Aged",
  AND(BikePurchase[[#This Row],[Age]]&gt;=55, BikePurchase[[#This Row],[Age]]&lt;90), "Old",
  TRUE, "Invalid"
)</f>
        <v>Middle Aged</v>
      </c>
      <c r="P405" t="s">
        <v>15</v>
      </c>
      <c r="Q405" t="str">
        <f>IF(BikePurchase[[#This Row],[Purchased BikeX]]="No","Not Purchased","Purchased")</f>
        <v>Not Purchased</v>
      </c>
    </row>
    <row r="406" spans="1:17" x14ac:dyDescent="0.3">
      <c r="A406">
        <v>22174</v>
      </c>
      <c r="B406" t="s">
        <v>30</v>
      </c>
      <c r="C406" t="str">
        <f t="shared" si="12"/>
        <v>Married</v>
      </c>
      <c r="D406" t="s">
        <v>30</v>
      </c>
      <c r="E406" t="str">
        <f t="shared" si="13"/>
        <v>Male</v>
      </c>
      <c r="F406" s="2">
        <v>30000</v>
      </c>
      <c r="G406">
        <v>3</v>
      </c>
      <c r="H406" t="s">
        <v>24</v>
      </c>
      <c r="I406" t="s">
        <v>12</v>
      </c>
      <c r="J406" t="s">
        <v>13</v>
      </c>
      <c r="K406">
        <v>2</v>
      </c>
      <c r="L406" t="s">
        <v>20</v>
      </c>
      <c r="M406" t="s">
        <v>21</v>
      </c>
      <c r="N406" s="2">
        <v>54</v>
      </c>
      <c r="O406" t="str" cm="1">
        <f t="array" ref="O406">_xlfn.IFS(
  AND(BikePurchase[[#This Row],[Age]]&gt;=18, BikePurchase[[#This Row],[Age]]&lt;=30), "Adolescent",
  AND(BikePurchase[[#This Row],[Age]]&gt;30, BikePurchase[[#This Row],[Age]]&lt;55), "Middle Aged",
  AND(BikePurchase[[#This Row],[Age]]&gt;=55, BikePurchase[[#This Row],[Age]]&lt;90), "Old",
  TRUE, "Invalid"
)</f>
        <v>Middle Aged</v>
      </c>
      <c r="P406" t="s">
        <v>13</v>
      </c>
      <c r="Q406" t="str">
        <f>IF(BikePurchase[[#This Row],[Purchased BikeX]]="No","Not Purchased","Purchased")</f>
        <v>Purchased</v>
      </c>
    </row>
    <row r="407" spans="1:17" x14ac:dyDescent="0.3">
      <c r="A407">
        <v>22439</v>
      </c>
      <c r="B407" t="s">
        <v>30</v>
      </c>
      <c r="C407" t="str">
        <f t="shared" si="12"/>
        <v>Married</v>
      </c>
      <c r="D407" t="s">
        <v>29</v>
      </c>
      <c r="E407" t="str">
        <f t="shared" si="13"/>
        <v>Female</v>
      </c>
      <c r="F407" s="2">
        <v>30000</v>
      </c>
      <c r="G407">
        <v>0</v>
      </c>
      <c r="H407" t="s">
        <v>11</v>
      </c>
      <c r="I407" t="s">
        <v>17</v>
      </c>
      <c r="J407" t="s">
        <v>13</v>
      </c>
      <c r="K407">
        <v>0</v>
      </c>
      <c r="L407" t="s">
        <v>35</v>
      </c>
      <c r="M407" t="s">
        <v>14</v>
      </c>
      <c r="N407" s="2">
        <v>37</v>
      </c>
      <c r="O407" t="str" cm="1">
        <f t="array" ref="O407">_xlfn.IFS(
  AND(BikePurchase[[#This Row],[Age]]&gt;=18, BikePurchase[[#This Row],[Age]]&lt;=30), "Adolescent",
  AND(BikePurchase[[#This Row],[Age]]&gt;30, BikePurchase[[#This Row],[Age]]&lt;55), "Middle Aged",
  AND(BikePurchase[[#This Row],[Age]]&gt;=55, BikePurchase[[#This Row],[Age]]&lt;90), "Old",
  TRUE, "Invalid"
)</f>
        <v>Middle Aged</v>
      </c>
      <c r="P407" t="s">
        <v>13</v>
      </c>
      <c r="Q407" t="str">
        <f>IF(BikePurchase[[#This Row],[Purchased BikeX]]="No","Not Purchased","Purchased")</f>
        <v>Purchased</v>
      </c>
    </row>
    <row r="408" spans="1:17" x14ac:dyDescent="0.3">
      <c r="A408">
        <v>18012</v>
      </c>
      <c r="B408" t="s">
        <v>30</v>
      </c>
      <c r="C408" t="str">
        <f t="shared" si="12"/>
        <v>Married</v>
      </c>
      <c r="D408" t="s">
        <v>29</v>
      </c>
      <c r="E408" t="str">
        <f t="shared" si="13"/>
        <v>Female</v>
      </c>
      <c r="F408" s="2">
        <v>40000</v>
      </c>
      <c r="G408">
        <v>1</v>
      </c>
      <c r="H408" t="s">
        <v>11</v>
      </c>
      <c r="I408" t="s">
        <v>12</v>
      </c>
      <c r="J408" t="s">
        <v>13</v>
      </c>
      <c r="K408">
        <v>0</v>
      </c>
      <c r="L408" t="s">
        <v>35</v>
      </c>
      <c r="M408" t="s">
        <v>14</v>
      </c>
      <c r="N408" s="2">
        <v>41</v>
      </c>
      <c r="O408" t="str" cm="1">
        <f t="array" ref="O408">_xlfn.IFS(
  AND(BikePurchase[[#This Row],[Age]]&gt;=18, BikePurchase[[#This Row],[Age]]&lt;=30), "Adolescent",
  AND(BikePurchase[[#This Row],[Age]]&gt;30, BikePurchase[[#This Row],[Age]]&lt;55), "Middle Aged",
  AND(BikePurchase[[#This Row],[Age]]&gt;=55, BikePurchase[[#This Row],[Age]]&lt;90), "Old",
  TRUE, "Invalid"
)</f>
        <v>Middle Aged</v>
      </c>
      <c r="P408" t="s">
        <v>15</v>
      </c>
      <c r="Q408" t="str">
        <f>IF(BikePurchase[[#This Row],[Purchased BikeX]]="No","Not Purchased","Purchased")</f>
        <v>Not Purchased</v>
      </c>
    </row>
    <row r="409" spans="1:17" x14ac:dyDescent="0.3">
      <c r="A409">
        <v>27582</v>
      </c>
      <c r="B409" t="s">
        <v>31</v>
      </c>
      <c r="C409" t="str">
        <f t="shared" si="12"/>
        <v>Single</v>
      </c>
      <c r="D409" t="s">
        <v>29</v>
      </c>
      <c r="E409" t="str">
        <f t="shared" si="13"/>
        <v>Female</v>
      </c>
      <c r="F409" s="2">
        <v>90000</v>
      </c>
      <c r="G409">
        <v>2</v>
      </c>
      <c r="H409" t="s">
        <v>11</v>
      </c>
      <c r="I409" t="s">
        <v>18</v>
      </c>
      <c r="J409" t="s">
        <v>15</v>
      </c>
      <c r="K409">
        <v>0</v>
      </c>
      <c r="L409" t="s">
        <v>35</v>
      </c>
      <c r="M409" t="s">
        <v>21</v>
      </c>
      <c r="N409" s="2">
        <v>36</v>
      </c>
      <c r="O409" t="str" cm="1">
        <f t="array" ref="O409">_xlfn.IFS(
  AND(BikePurchase[[#This Row],[Age]]&gt;=18, BikePurchase[[#This Row],[Age]]&lt;=30), "Adolescent",
  AND(BikePurchase[[#This Row],[Age]]&gt;30, BikePurchase[[#This Row],[Age]]&lt;55), "Middle Aged",
  AND(BikePurchase[[#This Row],[Age]]&gt;=55, BikePurchase[[#This Row],[Age]]&lt;90), "Old",
  TRUE, "Invalid"
)</f>
        <v>Middle Aged</v>
      </c>
      <c r="P409" t="s">
        <v>13</v>
      </c>
      <c r="Q409" t="str">
        <f>IF(BikePurchase[[#This Row],[Purchased BikeX]]="No","Not Purchased","Purchased")</f>
        <v>Purchased</v>
      </c>
    </row>
    <row r="410" spans="1:17" x14ac:dyDescent="0.3">
      <c r="A410">
        <v>12744</v>
      </c>
      <c r="B410" t="s">
        <v>31</v>
      </c>
      <c r="C410" t="str">
        <f t="shared" si="12"/>
        <v>Single</v>
      </c>
      <c r="D410" t="s">
        <v>29</v>
      </c>
      <c r="E410" t="str">
        <f t="shared" si="13"/>
        <v>Female</v>
      </c>
      <c r="F410" s="2">
        <v>40000</v>
      </c>
      <c r="G410">
        <v>2</v>
      </c>
      <c r="H410" t="s">
        <v>16</v>
      </c>
      <c r="I410" t="s">
        <v>17</v>
      </c>
      <c r="J410" t="s">
        <v>13</v>
      </c>
      <c r="K410">
        <v>0</v>
      </c>
      <c r="L410" t="s">
        <v>35</v>
      </c>
      <c r="M410" t="s">
        <v>14</v>
      </c>
      <c r="N410" s="2">
        <v>33</v>
      </c>
      <c r="O410" t="str" cm="1">
        <f t="array" ref="O410">_xlfn.IFS(
  AND(BikePurchase[[#This Row],[Age]]&gt;=18, BikePurchase[[#This Row],[Age]]&lt;=30), "Adolescent",
  AND(BikePurchase[[#This Row],[Age]]&gt;30, BikePurchase[[#This Row],[Age]]&lt;55), "Middle Aged",
  AND(BikePurchase[[#This Row],[Age]]&gt;=55, BikePurchase[[#This Row],[Age]]&lt;90), "Old",
  TRUE, "Invalid"
)</f>
        <v>Middle Aged</v>
      </c>
      <c r="P410" t="s">
        <v>15</v>
      </c>
      <c r="Q410" t="str">
        <f>IF(BikePurchase[[#This Row],[Purchased BikeX]]="No","Not Purchased","Purchased")</f>
        <v>Not Purchased</v>
      </c>
    </row>
    <row r="411" spans="1:17" x14ac:dyDescent="0.3">
      <c r="A411">
        <v>22821</v>
      </c>
      <c r="B411" t="s">
        <v>30</v>
      </c>
      <c r="C411" t="str">
        <f t="shared" si="12"/>
        <v>Married</v>
      </c>
      <c r="D411" t="s">
        <v>29</v>
      </c>
      <c r="E411" t="str">
        <f t="shared" si="13"/>
        <v>Female</v>
      </c>
      <c r="F411" s="2">
        <v>130000</v>
      </c>
      <c r="G411">
        <v>3</v>
      </c>
      <c r="H411" t="s">
        <v>16</v>
      </c>
      <c r="I411" t="s">
        <v>18</v>
      </c>
      <c r="J411" t="s">
        <v>13</v>
      </c>
      <c r="K411">
        <v>4</v>
      </c>
      <c r="L411" t="s">
        <v>35</v>
      </c>
      <c r="M411" t="s">
        <v>14</v>
      </c>
      <c r="N411" s="2">
        <v>52</v>
      </c>
      <c r="O411" t="str" cm="1">
        <f t="array" ref="O411">_xlfn.IFS(
  AND(BikePurchase[[#This Row],[Age]]&gt;=18, BikePurchase[[#This Row],[Age]]&lt;=30), "Adolescent",
  AND(BikePurchase[[#This Row],[Age]]&gt;30, BikePurchase[[#This Row],[Age]]&lt;55), "Middle Aged",
  AND(BikePurchase[[#This Row],[Age]]&gt;=55, BikePurchase[[#This Row],[Age]]&lt;90), "Old",
  TRUE, "Invalid"
)</f>
        <v>Middle Aged</v>
      </c>
      <c r="P411" t="s">
        <v>15</v>
      </c>
      <c r="Q411" t="str">
        <f>IF(BikePurchase[[#This Row],[Purchased BikeX]]="No","Not Purchased","Purchased")</f>
        <v>Not Purchased</v>
      </c>
    </row>
    <row r="412" spans="1:17" x14ac:dyDescent="0.3">
      <c r="A412">
        <v>20171</v>
      </c>
      <c r="B412" t="s">
        <v>30</v>
      </c>
      <c r="C412" t="str">
        <f t="shared" si="12"/>
        <v>Married</v>
      </c>
      <c r="D412" t="s">
        <v>29</v>
      </c>
      <c r="E412" t="str">
        <f t="shared" si="13"/>
        <v>Female</v>
      </c>
      <c r="F412" s="2">
        <v>20000</v>
      </c>
      <c r="G412">
        <v>2</v>
      </c>
      <c r="H412" t="s">
        <v>16</v>
      </c>
      <c r="I412" t="s">
        <v>22</v>
      </c>
      <c r="J412" t="s">
        <v>13</v>
      </c>
      <c r="K412">
        <v>1</v>
      </c>
      <c r="L412" t="s">
        <v>35</v>
      </c>
      <c r="M412" t="s">
        <v>14</v>
      </c>
      <c r="N412" s="2">
        <v>46</v>
      </c>
      <c r="O412" t="str" cm="1">
        <f t="array" ref="O412">_xlfn.IFS(
  AND(BikePurchase[[#This Row],[Age]]&gt;=18, BikePurchase[[#This Row],[Age]]&lt;=30), "Adolescent",
  AND(BikePurchase[[#This Row],[Age]]&gt;30, BikePurchase[[#This Row],[Age]]&lt;55), "Middle Aged",
  AND(BikePurchase[[#This Row],[Age]]&gt;=55, BikePurchase[[#This Row],[Age]]&lt;90), "Old",
  TRUE, "Invalid"
)</f>
        <v>Middle Aged</v>
      </c>
      <c r="P412" t="s">
        <v>13</v>
      </c>
      <c r="Q412" t="str">
        <f>IF(BikePurchase[[#This Row],[Purchased BikeX]]="No","Not Purchased","Purchased")</f>
        <v>Purchased</v>
      </c>
    </row>
    <row r="413" spans="1:17" x14ac:dyDescent="0.3">
      <c r="A413">
        <v>11116</v>
      </c>
      <c r="B413" t="s">
        <v>30</v>
      </c>
      <c r="C413" t="str">
        <f t="shared" si="12"/>
        <v>Married</v>
      </c>
      <c r="D413" t="s">
        <v>30</v>
      </c>
      <c r="E413" t="str">
        <f t="shared" si="13"/>
        <v>Male</v>
      </c>
      <c r="F413" s="2">
        <v>70000</v>
      </c>
      <c r="G413">
        <v>5</v>
      </c>
      <c r="H413" t="s">
        <v>16</v>
      </c>
      <c r="I413" t="s">
        <v>12</v>
      </c>
      <c r="J413" t="s">
        <v>13</v>
      </c>
      <c r="K413">
        <v>2</v>
      </c>
      <c r="L413" t="s">
        <v>20</v>
      </c>
      <c r="M413" t="s">
        <v>21</v>
      </c>
      <c r="N413" s="2">
        <v>43</v>
      </c>
      <c r="O413" t="str" cm="1">
        <f t="array" ref="O413">_xlfn.IFS(
  AND(BikePurchase[[#This Row],[Age]]&gt;=18, BikePurchase[[#This Row],[Age]]&lt;=30), "Adolescent",
  AND(BikePurchase[[#This Row],[Age]]&gt;30, BikePurchase[[#This Row],[Age]]&lt;55), "Middle Aged",
  AND(BikePurchase[[#This Row],[Age]]&gt;=55, BikePurchase[[#This Row],[Age]]&lt;90), "Old",
  TRUE, "Invalid"
)</f>
        <v>Middle Aged</v>
      </c>
      <c r="P413" t="s">
        <v>15</v>
      </c>
      <c r="Q413" t="str">
        <f>IF(BikePurchase[[#This Row],[Purchased BikeX]]="No","Not Purchased","Purchased")</f>
        <v>Not Purchased</v>
      </c>
    </row>
    <row r="414" spans="1:17" x14ac:dyDescent="0.3">
      <c r="A414">
        <v>20053</v>
      </c>
      <c r="B414" t="s">
        <v>31</v>
      </c>
      <c r="C414" t="str">
        <f t="shared" si="12"/>
        <v>Single</v>
      </c>
      <c r="D414" t="s">
        <v>30</v>
      </c>
      <c r="E414" t="str">
        <f t="shared" si="13"/>
        <v>Male</v>
      </c>
      <c r="F414" s="2">
        <v>40000</v>
      </c>
      <c r="G414">
        <v>2</v>
      </c>
      <c r="H414" t="s">
        <v>16</v>
      </c>
      <c r="I414" t="s">
        <v>17</v>
      </c>
      <c r="J414" t="s">
        <v>13</v>
      </c>
      <c r="K414">
        <v>0</v>
      </c>
      <c r="L414" t="s">
        <v>35</v>
      </c>
      <c r="M414" t="s">
        <v>14</v>
      </c>
      <c r="N414" s="2">
        <v>34</v>
      </c>
      <c r="O414" t="str" cm="1">
        <f t="array" ref="O414">_xlfn.IFS(
  AND(BikePurchase[[#This Row],[Age]]&gt;=18, BikePurchase[[#This Row],[Age]]&lt;=30), "Adolescent",
  AND(BikePurchase[[#This Row],[Age]]&gt;30, BikePurchase[[#This Row],[Age]]&lt;55), "Middle Aged",
  AND(BikePurchase[[#This Row],[Age]]&gt;=55, BikePurchase[[#This Row],[Age]]&lt;90), "Old",
  TRUE, "Invalid"
)</f>
        <v>Middle Aged</v>
      </c>
      <c r="P414" t="s">
        <v>15</v>
      </c>
      <c r="Q414" t="str">
        <f>IF(BikePurchase[[#This Row],[Purchased BikeX]]="No","Not Purchased","Purchased")</f>
        <v>Not Purchased</v>
      </c>
    </row>
    <row r="415" spans="1:17" x14ac:dyDescent="0.3">
      <c r="A415">
        <v>25266</v>
      </c>
      <c r="B415" t="s">
        <v>31</v>
      </c>
      <c r="C415" t="str">
        <f t="shared" si="12"/>
        <v>Single</v>
      </c>
      <c r="D415" t="s">
        <v>29</v>
      </c>
      <c r="E415" t="str">
        <f t="shared" si="13"/>
        <v>Female</v>
      </c>
      <c r="F415" s="2">
        <v>30000</v>
      </c>
      <c r="G415">
        <v>2</v>
      </c>
      <c r="H415" t="s">
        <v>16</v>
      </c>
      <c r="I415" t="s">
        <v>17</v>
      </c>
      <c r="J415" t="s">
        <v>15</v>
      </c>
      <c r="K415">
        <v>2</v>
      </c>
      <c r="L415" t="s">
        <v>20</v>
      </c>
      <c r="M415" t="s">
        <v>21</v>
      </c>
      <c r="N415" s="2">
        <v>67</v>
      </c>
      <c r="O415" t="str" cm="1">
        <f t="array" ref="O415">_xlfn.IFS(
  AND(BikePurchase[[#This Row],[Age]]&gt;=18, BikePurchase[[#This Row],[Age]]&lt;=30), "Adolescent",
  AND(BikePurchase[[#This Row],[Age]]&gt;30, BikePurchase[[#This Row],[Age]]&lt;55), "Middle Aged",
  AND(BikePurchase[[#This Row],[Age]]&gt;=55, BikePurchase[[#This Row],[Age]]&lt;90), "Old",
  TRUE, "Invalid"
)</f>
        <v>Old</v>
      </c>
      <c r="P415" t="s">
        <v>15</v>
      </c>
      <c r="Q415" t="str">
        <f>IF(BikePurchase[[#This Row],[Purchased BikeX]]="No","Not Purchased","Purchased")</f>
        <v>Not Purchased</v>
      </c>
    </row>
    <row r="416" spans="1:17" x14ac:dyDescent="0.3">
      <c r="A416">
        <v>17960</v>
      </c>
      <c r="B416" t="s">
        <v>30</v>
      </c>
      <c r="C416" t="str">
        <f t="shared" si="12"/>
        <v>Married</v>
      </c>
      <c r="D416" t="s">
        <v>29</v>
      </c>
      <c r="E416" t="str">
        <f t="shared" si="13"/>
        <v>Female</v>
      </c>
      <c r="F416" s="2">
        <v>40000</v>
      </c>
      <c r="G416">
        <v>0</v>
      </c>
      <c r="H416" t="s">
        <v>27</v>
      </c>
      <c r="I416" t="s">
        <v>17</v>
      </c>
      <c r="J416" t="s">
        <v>13</v>
      </c>
      <c r="K416">
        <v>0</v>
      </c>
      <c r="L416" t="s">
        <v>35</v>
      </c>
      <c r="M416" t="s">
        <v>14</v>
      </c>
      <c r="N416" s="2">
        <v>35</v>
      </c>
      <c r="O416" t="str" cm="1">
        <f t="array" ref="O416">_xlfn.IFS(
  AND(BikePurchase[[#This Row],[Age]]&gt;=18, BikePurchase[[#This Row],[Age]]&lt;=30), "Adolescent",
  AND(BikePurchase[[#This Row],[Age]]&gt;30, BikePurchase[[#This Row],[Age]]&lt;55), "Middle Aged",
  AND(BikePurchase[[#This Row],[Age]]&gt;=55, BikePurchase[[#This Row],[Age]]&lt;90), "Old",
  TRUE, "Invalid"
)</f>
        <v>Middle Aged</v>
      </c>
      <c r="P416" t="s">
        <v>13</v>
      </c>
      <c r="Q416" t="str">
        <f>IF(BikePurchase[[#This Row],[Purchased BikeX]]="No","Not Purchased","Purchased")</f>
        <v>Purchased</v>
      </c>
    </row>
    <row r="417" spans="1:17" x14ac:dyDescent="0.3">
      <c r="A417">
        <v>13961</v>
      </c>
      <c r="B417" t="s">
        <v>30</v>
      </c>
      <c r="C417" t="str">
        <f t="shared" si="12"/>
        <v>Married</v>
      </c>
      <c r="D417" t="s">
        <v>29</v>
      </c>
      <c r="E417" t="str">
        <f t="shared" si="13"/>
        <v>Female</v>
      </c>
      <c r="F417" s="2">
        <v>80000</v>
      </c>
      <c r="G417">
        <v>5</v>
      </c>
      <c r="H417" t="s">
        <v>27</v>
      </c>
      <c r="I417" t="s">
        <v>25</v>
      </c>
      <c r="J417" t="s">
        <v>13</v>
      </c>
      <c r="K417">
        <v>3</v>
      </c>
      <c r="L417" t="s">
        <v>35</v>
      </c>
      <c r="M417" t="s">
        <v>21</v>
      </c>
      <c r="N417" s="2">
        <v>40</v>
      </c>
      <c r="O417" t="str" cm="1">
        <f t="array" ref="O417">_xlfn.IFS(
  AND(BikePurchase[[#This Row],[Age]]&gt;=18, BikePurchase[[#This Row],[Age]]&lt;=30), "Adolescent",
  AND(BikePurchase[[#This Row],[Age]]&gt;30, BikePurchase[[#This Row],[Age]]&lt;55), "Middle Aged",
  AND(BikePurchase[[#This Row],[Age]]&gt;=55, BikePurchase[[#This Row],[Age]]&lt;90), "Old",
  TRUE, "Invalid"
)</f>
        <v>Middle Aged</v>
      </c>
      <c r="P417" t="s">
        <v>15</v>
      </c>
      <c r="Q417" t="str">
        <f>IF(BikePurchase[[#This Row],[Purchased BikeX]]="No","Not Purchased","Purchased")</f>
        <v>Not Purchased</v>
      </c>
    </row>
    <row r="418" spans="1:17" x14ac:dyDescent="0.3">
      <c r="A418">
        <v>11897</v>
      </c>
      <c r="B418" t="s">
        <v>31</v>
      </c>
      <c r="C418" t="str">
        <f t="shared" si="12"/>
        <v>Single</v>
      </c>
      <c r="D418" t="s">
        <v>30</v>
      </c>
      <c r="E418" t="str">
        <f t="shared" si="13"/>
        <v>Male</v>
      </c>
      <c r="F418" s="2">
        <v>60000</v>
      </c>
      <c r="G418">
        <v>2</v>
      </c>
      <c r="H418" t="s">
        <v>11</v>
      </c>
      <c r="I418" t="s">
        <v>18</v>
      </c>
      <c r="J418" t="s">
        <v>15</v>
      </c>
      <c r="K418">
        <v>1</v>
      </c>
      <c r="L418" t="s">
        <v>35</v>
      </c>
      <c r="M418" t="s">
        <v>21</v>
      </c>
      <c r="N418" s="2">
        <v>37</v>
      </c>
      <c r="O418" t="str" cm="1">
        <f t="array" ref="O418">_xlfn.IFS(
  AND(BikePurchase[[#This Row],[Age]]&gt;=18, BikePurchase[[#This Row],[Age]]&lt;=30), "Adolescent",
  AND(BikePurchase[[#This Row],[Age]]&gt;30, BikePurchase[[#This Row],[Age]]&lt;55), "Middle Aged",
  AND(BikePurchase[[#This Row],[Age]]&gt;=55, BikePurchase[[#This Row],[Age]]&lt;90), "Old",
  TRUE, "Invalid"
)</f>
        <v>Middle Aged</v>
      </c>
      <c r="P418" t="s">
        <v>13</v>
      </c>
      <c r="Q418" t="str">
        <f>IF(BikePurchase[[#This Row],[Purchased BikeX]]="No","Not Purchased","Purchased")</f>
        <v>Purchased</v>
      </c>
    </row>
    <row r="419" spans="1:17" x14ac:dyDescent="0.3">
      <c r="A419">
        <v>11139</v>
      </c>
      <c r="B419" t="s">
        <v>31</v>
      </c>
      <c r="C419" t="str">
        <f t="shared" si="12"/>
        <v>Single</v>
      </c>
      <c r="D419" t="s">
        <v>29</v>
      </c>
      <c r="E419" t="str">
        <f t="shared" si="13"/>
        <v>Female</v>
      </c>
      <c r="F419" s="2">
        <v>30000</v>
      </c>
      <c r="G419">
        <v>2</v>
      </c>
      <c r="H419" t="s">
        <v>16</v>
      </c>
      <c r="I419" t="s">
        <v>17</v>
      </c>
      <c r="J419" t="s">
        <v>15</v>
      </c>
      <c r="K419">
        <v>2</v>
      </c>
      <c r="L419" t="s">
        <v>20</v>
      </c>
      <c r="M419" t="s">
        <v>21</v>
      </c>
      <c r="N419" s="2">
        <v>67</v>
      </c>
      <c r="O419" t="str" cm="1">
        <f t="array" ref="O419">_xlfn.IFS(
  AND(BikePurchase[[#This Row],[Age]]&gt;=18, BikePurchase[[#This Row],[Age]]&lt;=30), "Adolescent",
  AND(BikePurchase[[#This Row],[Age]]&gt;30, BikePurchase[[#This Row],[Age]]&lt;55), "Middle Aged",
  AND(BikePurchase[[#This Row],[Age]]&gt;=55, BikePurchase[[#This Row],[Age]]&lt;90), "Old",
  TRUE, "Invalid"
)</f>
        <v>Old</v>
      </c>
      <c r="P419" t="s">
        <v>15</v>
      </c>
      <c r="Q419" t="str">
        <f>IF(BikePurchase[[#This Row],[Purchased BikeX]]="No","Not Purchased","Purchased")</f>
        <v>Not Purchased</v>
      </c>
    </row>
    <row r="420" spans="1:17" x14ac:dyDescent="0.3">
      <c r="A420">
        <v>11576</v>
      </c>
      <c r="B420" t="s">
        <v>30</v>
      </c>
      <c r="C420" t="str">
        <f t="shared" si="12"/>
        <v>Married</v>
      </c>
      <c r="D420" t="s">
        <v>30</v>
      </c>
      <c r="E420" t="str">
        <f t="shared" si="13"/>
        <v>Male</v>
      </c>
      <c r="F420" s="2">
        <v>30000</v>
      </c>
      <c r="G420">
        <v>1</v>
      </c>
      <c r="H420" t="s">
        <v>11</v>
      </c>
      <c r="I420" t="s">
        <v>12</v>
      </c>
      <c r="J420" t="s">
        <v>13</v>
      </c>
      <c r="K420">
        <v>2</v>
      </c>
      <c r="L420" t="s">
        <v>35</v>
      </c>
      <c r="M420" t="s">
        <v>14</v>
      </c>
      <c r="N420" s="2">
        <v>41</v>
      </c>
      <c r="O420" t="str" cm="1">
        <f t="array" ref="O420">_xlfn.IFS(
  AND(BikePurchase[[#This Row],[Age]]&gt;=18, BikePurchase[[#This Row],[Age]]&lt;=30), "Adolescent",
  AND(BikePurchase[[#This Row],[Age]]&gt;30, BikePurchase[[#This Row],[Age]]&lt;55), "Middle Aged",
  AND(BikePurchase[[#This Row],[Age]]&gt;=55, BikePurchase[[#This Row],[Age]]&lt;90), "Old",
  TRUE, "Invalid"
)</f>
        <v>Middle Aged</v>
      </c>
      <c r="P420" t="s">
        <v>13</v>
      </c>
      <c r="Q420" t="str">
        <f>IF(BikePurchase[[#This Row],[Purchased BikeX]]="No","Not Purchased","Purchased")</f>
        <v>Purchased</v>
      </c>
    </row>
    <row r="421" spans="1:17" x14ac:dyDescent="0.3">
      <c r="A421">
        <v>19255</v>
      </c>
      <c r="B421" t="s">
        <v>31</v>
      </c>
      <c r="C421" t="str">
        <f t="shared" si="12"/>
        <v>Single</v>
      </c>
      <c r="D421" t="s">
        <v>30</v>
      </c>
      <c r="E421" t="str">
        <f t="shared" si="13"/>
        <v>Male</v>
      </c>
      <c r="F421" s="2">
        <v>10000</v>
      </c>
      <c r="G421">
        <v>2</v>
      </c>
      <c r="H421" t="s">
        <v>16</v>
      </c>
      <c r="I421" t="s">
        <v>22</v>
      </c>
      <c r="J421" t="s">
        <v>13</v>
      </c>
      <c r="K421">
        <v>1</v>
      </c>
      <c r="L421" t="s">
        <v>35</v>
      </c>
      <c r="M421" t="s">
        <v>14</v>
      </c>
      <c r="N421" s="2">
        <v>51</v>
      </c>
      <c r="O421" t="str" cm="1">
        <f t="array" ref="O421">_xlfn.IFS(
  AND(BikePurchase[[#This Row],[Age]]&gt;=18, BikePurchase[[#This Row],[Age]]&lt;=30), "Adolescent",
  AND(BikePurchase[[#This Row],[Age]]&gt;30, BikePurchase[[#This Row],[Age]]&lt;55), "Middle Aged",
  AND(BikePurchase[[#This Row],[Age]]&gt;=55, BikePurchase[[#This Row],[Age]]&lt;90), "Old",
  TRUE, "Invalid"
)</f>
        <v>Middle Aged</v>
      </c>
      <c r="P421" t="s">
        <v>13</v>
      </c>
      <c r="Q421" t="str">
        <f>IF(BikePurchase[[#This Row],[Purchased BikeX]]="No","Not Purchased","Purchased")</f>
        <v>Purchased</v>
      </c>
    </row>
    <row r="422" spans="1:17" x14ac:dyDescent="0.3">
      <c r="A422">
        <v>18153</v>
      </c>
      <c r="B422" t="s">
        <v>30</v>
      </c>
      <c r="C422" t="str">
        <f t="shared" si="12"/>
        <v>Married</v>
      </c>
      <c r="D422" t="s">
        <v>29</v>
      </c>
      <c r="E422" t="str">
        <f t="shared" si="13"/>
        <v>Female</v>
      </c>
      <c r="F422" s="2">
        <v>100000</v>
      </c>
      <c r="G422">
        <v>2</v>
      </c>
      <c r="H422" t="s">
        <v>11</v>
      </c>
      <c r="I422" t="s">
        <v>25</v>
      </c>
      <c r="J422" t="s">
        <v>13</v>
      </c>
      <c r="K422">
        <v>4</v>
      </c>
      <c r="L422" t="s">
        <v>48</v>
      </c>
      <c r="M422" t="s">
        <v>14</v>
      </c>
      <c r="N422" s="2">
        <v>59</v>
      </c>
      <c r="O422" t="str" cm="1">
        <f t="array" ref="O422">_xlfn.IFS(
  AND(BikePurchase[[#This Row],[Age]]&gt;=18, BikePurchase[[#This Row],[Age]]&lt;=30), "Adolescent",
  AND(BikePurchase[[#This Row],[Age]]&gt;30, BikePurchase[[#This Row],[Age]]&lt;55), "Middle Aged",
  AND(BikePurchase[[#This Row],[Age]]&gt;=55, BikePurchase[[#This Row],[Age]]&lt;90), "Old",
  TRUE, "Invalid"
)</f>
        <v>Old</v>
      </c>
      <c r="P422" t="s">
        <v>15</v>
      </c>
      <c r="Q422" t="str">
        <f>IF(BikePurchase[[#This Row],[Purchased BikeX]]="No","Not Purchased","Purchased")</f>
        <v>Not Purchased</v>
      </c>
    </row>
    <row r="423" spans="1:17" x14ac:dyDescent="0.3">
      <c r="A423">
        <v>14547</v>
      </c>
      <c r="B423" t="s">
        <v>30</v>
      </c>
      <c r="C423" t="str">
        <f t="shared" si="12"/>
        <v>Married</v>
      </c>
      <c r="D423" t="s">
        <v>30</v>
      </c>
      <c r="E423" t="str">
        <f t="shared" si="13"/>
        <v>Male</v>
      </c>
      <c r="F423" s="2">
        <v>10000</v>
      </c>
      <c r="G423">
        <v>2</v>
      </c>
      <c r="H423" t="s">
        <v>16</v>
      </c>
      <c r="I423" t="s">
        <v>22</v>
      </c>
      <c r="J423" t="s">
        <v>13</v>
      </c>
      <c r="K423">
        <v>0</v>
      </c>
      <c r="L423" t="s">
        <v>23</v>
      </c>
      <c r="M423" t="s">
        <v>14</v>
      </c>
      <c r="N423" s="2">
        <v>51</v>
      </c>
      <c r="O423" t="str" cm="1">
        <f t="array" ref="O423">_xlfn.IFS(
  AND(BikePurchase[[#This Row],[Age]]&gt;=18, BikePurchase[[#This Row],[Age]]&lt;=30), "Adolescent",
  AND(BikePurchase[[#This Row],[Age]]&gt;30, BikePurchase[[#This Row],[Age]]&lt;55), "Middle Aged",
  AND(BikePurchase[[#This Row],[Age]]&gt;=55, BikePurchase[[#This Row],[Age]]&lt;90), "Old",
  TRUE, "Invalid"
)</f>
        <v>Middle Aged</v>
      </c>
      <c r="P423" t="s">
        <v>15</v>
      </c>
      <c r="Q423" t="str">
        <f>IF(BikePurchase[[#This Row],[Purchased BikeX]]="No","Not Purchased","Purchased")</f>
        <v>Not Purchased</v>
      </c>
    </row>
    <row r="424" spans="1:17" x14ac:dyDescent="0.3">
      <c r="A424">
        <v>24901</v>
      </c>
      <c r="B424" t="s">
        <v>31</v>
      </c>
      <c r="C424" t="str">
        <f t="shared" si="12"/>
        <v>Single</v>
      </c>
      <c r="D424" t="s">
        <v>30</v>
      </c>
      <c r="E424" t="str">
        <f t="shared" si="13"/>
        <v>Male</v>
      </c>
      <c r="F424" s="2">
        <v>110000</v>
      </c>
      <c r="G424">
        <v>0</v>
      </c>
      <c r="H424" t="s">
        <v>16</v>
      </c>
      <c r="I424" t="s">
        <v>25</v>
      </c>
      <c r="J424" t="s">
        <v>15</v>
      </c>
      <c r="K424">
        <v>3</v>
      </c>
      <c r="L424" t="s">
        <v>48</v>
      </c>
      <c r="M424" t="s">
        <v>21</v>
      </c>
      <c r="N424" s="2">
        <v>32</v>
      </c>
      <c r="O424" t="str" cm="1">
        <f t="array" ref="O424">_xlfn.IFS(
  AND(BikePurchase[[#This Row],[Age]]&gt;=18, BikePurchase[[#This Row],[Age]]&lt;=30), "Adolescent",
  AND(BikePurchase[[#This Row],[Age]]&gt;30, BikePurchase[[#This Row],[Age]]&lt;55), "Middle Aged",
  AND(BikePurchase[[#This Row],[Age]]&gt;=55, BikePurchase[[#This Row],[Age]]&lt;90), "Old",
  TRUE, "Invalid"
)</f>
        <v>Middle Aged</v>
      </c>
      <c r="P424" t="s">
        <v>13</v>
      </c>
      <c r="Q424" t="str">
        <f>IF(BikePurchase[[#This Row],[Purchased BikeX]]="No","Not Purchased","Purchased")</f>
        <v>Purchased</v>
      </c>
    </row>
    <row r="425" spans="1:17" x14ac:dyDescent="0.3">
      <c r="A425">
        <v>27169</v>
      </c>
      <c r="B425" t="s">
        <v>31</v>
      </c>
      <c r="C425" t="str">
        <f t="shared" si="12"/>
        <v>Single</v>
      </c>
      <c r="D425" t="s">
        <v>30</v>
      </c>
      <c r="E425" t="str">
        <f t="shared" si="13"/>
        <v>Male</v>
      </c>
      <c r="F425" s="2">
        <v>30000</v>
      </c>
      <c r="G425">
        <v>0</v>
      </c>
      <c r="H425" t="s">
        <v>24</v>
      </c>
      <c r="I425" t="s">
        <v>22</v>
      </c>
      <c r="J425" t="s">
        <v>13</v>
      </c>
      <c r="K425">
        <v>1</v>
      </c>
      <c r="L425" t="s">
        <v>19</v>
      </c>
      <c r="M425" t="s">
        <v>14</v>
      </c>
      <c r="N425" s="2">
        <v>34</v>
      </c>
      <c r="O425" t="str" cm="1">
        <f t="array" ref="O425">_xlfn.IFS(
  AND(BikePurchase[[#This Row],[Age]]&gt;=18, BikePurchase[[#This Row],[Age]]&lt;=30), "Adolescent",
  AND(BikePurchase[[#This Row],[Age]]&gt;30, BikePurchase[[#This Row],[Age]]&lt;55), "Middle Aged",
  AND(BikePurchase[[#This Row],[Age]]&gt;=55, BikePurchase[[#This Row],[Age]]&lt;90), "Old",
  TRUE, "Invalid"
)</f>
        <v>Middle Aged</v>
      </c>
      <c r="P425" t="s">
        <v>13</v>
      </c>
      <c r="Q425" t="str">
        <f>IF(BikePurchase[[#This Row],[Purchased BikeX]]="No","Not Purchased","Purchased")</f>
        <v>Purchased</v>
      </c>
    </row>
    <row r="426" spans="1:17" x14ac:dyDescent="0.3">
      <c r="A426">
        <v>14805</v>
      </c>
      <c r="B426" t="s">
        <v>31</v>
      </c>
      <c r="C426" t="str">
        <f t="shared" si="12"/>
        <v>Single</v>
      </c>
      <c r="D426" t="s">
        <v>29</v>
      </c>
      <c r="E426" t="str">
        <f t="shared" si="13"/>
        <v>Female</v>
      </c>
      <c r="F426" s="2">
        <v>10000</v>
      </c>
      <c r="G426">
        <v>3</v>
      </c>
      <c r="H426" t="s">
        <v>26</v>
      </c>
      <c r="I426" t="s">
        <v>22</v>
      </c>
      <c r="J426" t="s">
        <v>13</v>
      </c>
      <c r="K426">
        <v>2</v>
      </c>
      <c r="L426" t="s">
        <v>35</v>
      </c>
      <c r="M426" t="s">
        <v>14</v>
      </c>
      <c r="N426" s="2">
        <v>43</v>
      </c>
      <c r="O426" t="str" cm="1">
        <f t="array" ref="O426">_xlfn.IFS(
  AND(BikePurchase[[#This Row],[Age]]&gt;=18, BikePurchase[[#This Row],[Age]]&lt;=30), "Adolescent",
  AND(BikePurchase[[#This Row],[Age]]&gt;30, BikePurchase[[#This Row],[Age]]&lt;55), "Middle Aged",
  AND(BikePurchase[[#This Row],[Age]]&gt;=55, BikePurchase[[#This Row],[Age]]&lt;90), "Old",
  TRUE, "Invalid"
)</f>
        <v>Middle Aged</v>
      </c>
      <c r="P426" t="s">
        <v>15</v>
      </c>
      <c r="Q426" t="str">
        <f>IF(BikePurchase[[#This Row],[Purchased BikeX]]="No","Not Purchased","Purchased")</f>
        <v>Not Purchased</v>
      </c>
    </row>
    <row r="427" spans="1:17" x14ac:dyDescent="0.3">
      <c r="A427">
        <v>15822</v>
      </c>
      <c r="B427" t="s">
        <v>30</v>
      </c>
      <c r="C427" t="str">
        <f t="shared" si="12"/>
        <v>Married</v>
      </c>
      <c r="D427" t="s">
        <v>30</v>
      </c>
      <c r="E427" t="str">
        <f t="shared" si="13"/>
        <v>Male</v>
      </c>
      <c r="F427" s="2">
        <v>40000</v>
      </c>
      <c r="G427">
        <v>2</v>
      </c>
      <c r="H427" t="s">
        <v>11</v>
      </c>
      <c r="I427" t="s">
        <v>25</v>
      </c>
      <c r="J427" t="s">
        <v>13</v>
      </c>
      <c r="K427">
        <v>2</v>
      </c>
      <c r="L427" t="s">
        <v>35</v>
      </c>
      <c r="M427" t="s">
        <v>21</v>
      </c>
      <c r="N427" s="2">
        <v>67</v>
      </c>
      <c r="O427" t="str" cm="1">
        <f t="array" ref="O427">_xlfn.IFS(
  AND(BikePurchase[[#This Row],[Age]]&gt;=18, BikePurchase[[#This Row],[Age]]&lt;=30), "Adolescent",
  AND(BikePurchase[[#This Row],[Age]]&gt;30, BikePurchase[[#This Row],[Age]]&lt;55), "Middle Aged",
  AND(BikePurchase[[#This Row],[Age]]&gt;=55, BikePurchase[[#This Row],[Age]]&lt;90), "Old",
  TRUE, "Invalid"
)</f>
        <v>Old</v>
      </c>
      <c r="P427" t="s">
        <v>15</v>
      </c>
      <c r="Q427" t="str">
        <f>IF(BikePurchase[[#This Row],[Purchased BikeX]]="No","Not Purchased","Purchased")</f>
        <v>Not Purchased</v>
      </c>
    </row>
    <row r="428" spans="1:17" x14ac:dyDescent="0.3">
      <c r="A428">
        <v>19389</v>
      </c>
      <c r="B428" t="s">
        <v>31</v>
      </c>
      <c r="C428" t="str">
        <f t="shared" si="12"/>
        <v>Single</v>
      </c>
      <c r="D428" t="s">
        <v>30</v>
      </c>
      <c r="E428" t="str">
        <f t="shared" si="13"/>
        <v>Male</v>
      </c>
      <c r="F428" s="2">
        <v>30000</v>
      </c>
      <c r="G428">
        <v>0</v>
      </c>
      <c r="H428" t="s">
        <v>16</v>
      </c>
      <c r="I428" t="s">
        <v>17</v>
      </c>
      <c r="J428" t="s">
        <v>15</v>
      </c>
      <c r="K428">
        <v>1</v>
      </c>
      <c r="L428" t="s">
        <v>19</v>
      </c>
      <c r="M428" t="s">
        <v>14</v>
      </c>
      <c r="N428" s="2">
        <v>28</v>
      </c>
      <c r="O428" t="str" cm="1">
        <f t="array" ref="O428">_xlfn.IFS(
  AND(BikePurchase[[#This Row],[Age]]&gt;=18, BikePurchase[[#This Row],[Age]]&lt;=30), "Adolescent",
  AND(BikePurchase[[#This Row],[Age]]&gt;30, BikePurchase[[#This Row],[Age]]&lt;55), "Middle Aged",
  AND(BikePurchase[[#This Row],[Age]]&gt;=55, BikePurchase[[#This Row],[Age]]&lt;90), "Old",
  TRUE, "Invalid"
)</f>
        <v>Adolescent</v>
      </c>
      <c r="P428" t="s">
        <v>15</v>
      </c>
      <c r="Q428" t="str">
        <f>IF(BikePurchase[[#This Row],[Purchased BikeX]]="No","Not Purchased","Purchased")</f>
        <v>Not Purchased</v>
      </c>
    </row>
    <row r="429" spans="1:17" x14ac:dyDescent="0.3">
      <c r="A429">
        <v>17048</v>
      </c>
      <c r="B429" t="s">
        <v>31</v>
      </c>
      <c r="C429" t="str">
        <f t="shared" si="12"/>
        <v>Single</v>
      </c>
      <c r="D429" t="s">
        <v>29</v>
      </c>
      <c r="E429" t="str">
        <f t="shared" si="13"/>
        <v>Female</v>
      </c>
      <c r="F429" s="2">
        <v>90000</v>
      </c>
      <c r="G429">
        <v>1</v>
      </c>
      <c r="H429" t="s">
        <v>27</v>
      </c>
      <c r="I429" t="s">
        <v>25</v>
      </c>
      <c r="J429" t="s">
        <v>13</v>
      </c>
      <c r="K429">
        <v>0</v>
      </c>
      <c r="L429" t="s">
        <v>35</v>
      </c>
      <c r="M429" t="s">
        <v>21</v>
      </c>
      <c r="N429" s="2">
        <v>36</v>
      </c>
      <c r="O429" t="str" cm="1">
        <f t="array" ref="O429">_xlfn.IFS(
  AND(BikePurchase[[#This Row],[Age]]&gt;=18, BikePurchase[[#This Row],[Age]]&lt;=30), "Adolescent",
  AND(BikePurchase[[#This Row],[Age]]&gt;30, BikePurchase[[#This Row],[Age]]&lt;55), "Middle Aged",
  AND(BikePurchase[[#This Row],[Age]]&gt;=55, BikePurchase[[#This Row],[Age]]&lt;90), "Old",
  TRUE, "Invalid"
)</f>
        <v>Middle Aged</v>
      </c>
      <c r="P429" t="s">
        <v>13</v>
      </c>
      <c r="Q429" t="str">
        <f>IF(BikePurchase[[#This Row],[Purchased BikeX]]="No","Not Purchased","Purchased")</f>
        <v>Purchased</v>
      </c>
    </row>
    <row r="430" spans="1:17" x14ac:dyDescent="0.3">
      <c r="A430">
        <v>22204</v>
      </c>
      <c r="B430" t="s">
        <v>30</v>
      </c>
      <c r="C430" t="str">
        <f t="shared" si="12"/>
        <v>Married</v>
      </c>
      <c r="D430" t="s">
        <v>30</v>
      </c>
      <c r="E430" t="str">
        <f t="shared" si="13"/>
        <v>Male</v>
      </c>
      <c r="F430" s="2">
        <v>110000</v>
      </c>
      <c r="G430">
        <v>4</v>
      </c>
      <c r="H430" t="s">
        <v>11</v>
      </c>
      <c r="I430" t="s">
        <v>25</v>
      </c>
      <c r="J430" t="s">
        <v>13</v>
      </c>
      <c r="K430">
        <v>3</v>
      </c>
      <c r="L430" t="s">
        <v>19</v>
      </c>
      <c r="M430" t="s">
        <v>21</v>
      </c>
      <c r="N430" s="2">
        <v>48</v>
      </c>
      <c r="O430" t="str" cm="1">
        <f t="array" ref="O430">_xlfn.IFS(
  AND(BikePurchase[[#This Row],[Age]]&gt;=18, BikePurchase[[#This Row],[Age]]&lt;=30), "Adolescent",
  AND(BikePurchase[[#This Row],[Age]]&gt;30, BikePurchase[[#This Row],[Age]]&lt;55), "Middle Aged",
  AND(BikePurchase[[#This Row],[Age]]&gt;=55, BikePurchase[[#This Row],[Age]]&lt;90), "Old",
  TRUE, "Invalid"
)</f>
        <v>Middle Aged</v>
      </c>
      <c r="P430" t="s">
        <v>15</v>
      </c>
      <c r="Q430" t="str">
        <f>IF(BikePurchase[[#This Row],[Purchased BikeX]]="No","Not Purchased","Purchased")</f>
        <v>Not Purchased</v>
      </c>
    </row>
    <row r="431" spans="1:17" x14ac:dyDescent="0.3">
      <c r="A431">
        <v>12718</v>
      </c>
      <c r="B431" t="s">
        <v>31</v>
      </c>
      <c r="C431" t="str">
        <f t="shared" si="12"/>
        <v>Single</v>
      </c>
      <c r="D431" t="s">
        <v>29</v>
      </c>
      <c r="E431" t="str">
        <f t="shared" si="13"/>
        <v>Female</v>
      </c>
      <c r="F431" s="2">
        <v>30000</v>
      </c>
      <c r="G431">
        <v>0</v>
      </c>
      <c r="H431" t="s">
        <v>16</v>
      </c>
      <c r="I431" t="s">
        <v>17</v>
      </c>
      <c r="J431" t="s">
        <v>13</v>
      </c>
      <c r="K431">
        <v>1</v>
      </c>
      <c r="L431" t="s">
        <v>19</v>
      </c>
      <c r="M431" t="s">
        <v>14</v>
      </c>
      <c r="N431" s="2">
        <v>31</v>
      </c>
      <c r="O431" t="str" cm="1">
        <f t="array" ref="O431">_xlfn.IFS(
  AND(BikePurchase[[#This Row],[Age]]&gt;=18, BikePurchase[[#This Row],[Age]]&lt;=30), "Adolescent",
  AND(BikePurchase[[#This Row],[Age]]&gt;30, BikePurchase[[#This Row],[Age]]&lt;55), "Middle Aged",
  AND(BikePurchase[[#This Row],[Age]]&gt;=55, BikePurchase[[#This Row],[Age]]&lt;90), "Old",
  TRUE, "Invalid"
)</f>
        <v>Middle Aged</v>
      </c>
      <c r="P431" t="s">
        <v>15</v>
      </c>
      <c r="Q431" t="str">
        <f>IF(BikePurchase[[#This Row],[Purchased BikeX]]="No","Not Purchased","Purchased")</f>
        <v>Not Purchased</v>
      </c>
    </row>
    <row r="432" spans="1:17" x14ac:dyDescent="0.3">
      <c r="A432">
        <v>15019</v>
      </c>
      <c r="B432" t="s">
        <v>31</v>
      </c>
      <c r="C432" t="str">
        <f t="shared" si="12"/>
        <v>Single</v>
      </c>
      <c r="D432" t="s">
        <v>29</v>
      </c>
      <c r="E432" t="str">
        <f t="shared" si="13"/>
        <v>Female</v>
      </c>
      <c r="F432" s="2">
        <v>30000</v>
      </c>
      <c r="G432">
        <v>3</v>
      </c>
      <c r="H432" t="s">
        <v>24</v>
      </c>
      <c r="I432" t="s">
        <v>12</v>
      </c>
      <c r="J432" t="s">
        <v>13</v>
      </c>
      <c r="K432">
        <v>2</v>
      </c>
      <c r="L432" t="s">
        <v>20</v>
      </c>
      <c r="M432" t="s">
        <v>21</v>
      </c>
      <c r="N432" s="2">
        <v>55</v>
      </c>
      <c r="O432" t="str" cm="1">
        <f t="array" ref="O432">_xlfn.IFS(
  AND(BikePurchase[[#This Row],[Age]]&gt;=18, BikePurchase[[#This Row],[Age]]&lt;=30), "Adolescent",
  AND(BikePurchase[[#This Row],[Age]]&gt;30, BikePurchase[[#This Row],[Age]]&lt;55), "Middle Aged",
  AND(BikePurchase[[#This Row],[Age]]&gt;=55, BikePurchase[[#This Row],[Age]]&lt;90), "Old",
  TRUE, "Invalid"
)</f>
        <v>Old</v>
      </c>
      <c r="P432" t="s">
        <v>15</v>
      </c>
      <c r="Q432" t="str">
        <f>IF(BikePurchase[[#This Row],[Purchased BikeX]]="No","Not Purchased","Purchased")</f>
        <v>Not Purchased</v>
      </c>
    </row>
    <row r="433" spans="1:17" x14ac:dyDescent="0.3">
      <c r="A433">
        <v>28488</v>
      </c>
      <c r="B433" t="s">
        <v>31</v>
      </c>
      <c r="C433" t="str">
        <f t="shared" si="12"/>
        <v>Single</v>
      </c>
      <c r="D433" t="s">
        <v>30</v>
      </c>
      <c r="E433" t="str">
        <f t="shared" si="13"/>
        <v>Male</v>
      </c>
      <c r="F433" s="2">
        <v>20000</v>
      </c>
      <c r="G433">
        <v>0</v>
      </c>
      <c r="H433" t="s">
        <v>16</v>
      </c>
      <c r="I433" t="s">
        <v>22</v>
      </c>
      <c r="J433" t="s">
        <v>13</v>
      </c>
      <c r="K433">
        <v>0</v>
      </c>
      <c r="L433" t="s">
        <v>35</v>
      </c>
      <c r="M433" t="s">
        <v>21</v>
      </c>
      <c r="N433" s="2">
        <v>28</v>
      </c>
      <c r="O433" t="str" cm="1">
        <f t="array" ref="O433">_xlfn.IFS(
  AND(BikePurchase[[#This Row],[Age]]&gt;=18, BikePurchase[[#This Row],[Age]]&lt;=30), "Adolescent",
  AND(BikePurchase[[#This Row],[Age]]&gt;30, BikePurchase[[#This Row],[Age]]&lt;55), "Middle Aged",
  AND(BikePurchase[[#This Row],[Age]]&gt;=55, BikePurchase[[#This Row],[Age]]&lt;90), "Old",
  TRUE, "Invalid"
)</f>
        <v>Adolescent</v>
      </c>
      <c r="P433" t="s">
        <v>13</v>
      </c>
      <c r="Q433" t="str">
        <f>IF(BikePurchase[[#This Row],[Purchased BikeX]]="No","Not Purchased","Purchased")</f>
        <v>Purchased</v>
      </c>
    </row>
    <row r="434" spans="1:17" x14ac:dyDescent="0.3">
      <c r="A434">
        <v>21891</v>
      </c>
      <c r="B434" t="s">
        <v>30</v>
      </c>
      <c r="C434" t="str">
        <f t="shared" si="12"/>
        <v>Married</v>
      </c>
      <c r="D434" t="s">
        <v>29</v>
      </c>
      <c r="E434" t="str">
        <f t="shared" si="13"/>
        <v>Female</v>
      </c>
      <c r="F434" s="2">
        <v>110000</v>
      </c>
      <c r="G434">
        <v>0</v>
      </c>
      <c r="H434" t="s">
        <v>24</v>
      </c>
      <c r="I434" t="s">
        <v>25</v>
      </c>
      <c r="J434" t="s">
        <v>13</v>
      </c>
      <c r="K434">
        <v>3</v>
      </c>
      <c r="L434" t="s">
        <v>48</v>
      </c>
      <c r="M434" t="s">
        <v>21</v>
      </c>
      <c r="N434" s="2">
        <v>34</v>
      </c>
      <c r="O434" t="str" cm="1">
        <f t="array" ref="O434">_xlfn.IFS(
  AND(BikePurchase[[#This Row],[Age]]&gt;=18, BikePurchase[[#This Row],[Age]]&lt;=30), "Adolescent",
  AND(BikePurchase[[#This Row],[Age]]&gt;30, BikePurchase[[#This Row],[Age]]&lt;55), "Middle Aged",
  AND(BikePurchase[[#This Row],[Age]]&gt;=55, BikePurchase[[#This Row],[Age]]&lt;90), "Old",
  TRUE, "Invalid"
)</f>
        <v>Middle Aged</v>
      </c>
      <c r="P434" t="s">
        <v>13</v>
      </c>
      <c r="Q434" t="str">
        <f>IF(BikePurchase[[#This Row],[Purchased BikeX]]="No","Not Purchased","Purchased")</f>
        <v>Purchased</v>
      </c>
    </row>
    <row r="435" spans="1:17" x14ac:dyDescent="0.3">
      <c r="A435">
        <v>27814</v>
      </c>
      <c r="B435" t="s">
        <v>31</v>
      </c>
      <c r="C435" t="str">
        <f t="shared" si="12"/>
        <v>Single</v>
      </c>
      <c r="D435" t="s">
        <v>29</v>
      </c>
      <c r="E435" t="str">
        <f t="shared" si="13"/>
        <v>Female</v>
      </c>
      <c r="F435" s="2">
        <v>30000</v>
      </c>
      <c r="G435">
        <v>3</v>
      </c>
      <c r="H435" t="s">
        <v>16</v>
      </c>
      <c r="I435" t="s">
        <v>17</v>
      </c>
      <c r="J435" t="s">
        <v>15</v>
      </c>
      <c r="K435">
        <v>1</v>
      </c>
      <c r="L435" t="s">
        <v>35</v>
      </c>
      <c r="M435" t="s">
        <v>14</v>
      </c>
      <c r="N435" s="2">
        <v>26</v>
      </c>
      <c r="O435" t="str" cm="1">
        <f t="array" ref="O435">_xlfn.IFS(
  AND(BikePurchase[[#This Row],[Age]]&gt;=18, BikePurchase[[#This Row],[Age]]&lt;=30), "Adolescent",
  AND(BikePurchase[[#This Row],[Age]]&gt;30, BikePurchase[[#This Row],[Age]]&lt;55), "Middle Aged",
  AND(BikePurchase[[#This Row],[Age]]&gt;=55, BikePurchase[[#This Row],[Age]]&lt;90), "Old",
  TRUE, "Invalid"
)</f>
        <v>Adolescent</v>
      </c>
      <c r="P435" t="s">
        <v>15</v>
      </c>
      <c r="Q435" t="str">
        <f>IF(BikePurchase[[#This Row],[Purchased BikeX]]="No","Not Purchased","Purchased")</f>
        <v>Not Purchased</v>
      </c>
    </row>
    <row r="436" spans="1:17" x14ac:dyDescent="0.3">
      <c r="A436">
        <v>22175</v>
      </c>
      <c r="B436" t="s">
        <v>30</v>
      </c>
      <c r="C436" t="str">
        <f t="shared" si="12"/>
        <v>Married</v>
      </c>
      <c r="D436" t="s">
        <v>29</v>
      </c>
      <c r="E436" t="str">
        <f t="shared" si="13"/>
        <v>Female</v>
      </c>
      <c r="F436" s="2">
        <v>30000</v>
      </c>
      <c r="G436">
        <v>3</v>
      </c>
      <c r="H436" t="s">
        <v>24</v>
      </c>
      <c r="I436" t="s">
        <v>12</v>
      </c>
      <c r="J436" t="s">
        <v>13</v>
      </c>
      <c r="K436">
        <v>2</v>
      </c>
      <c r="L436" t="s">
        <v>20</v>
      </c>
      <c r="M436" t="s">
        <v>21</v>
      </c>
      <c r="N436" s="2">
        <v>53</v>
      </c>
      <c r="O436" t="str" cm="1">
        <f t="array" ref="O436">_xlfn.IFS(
  AND(BikePurchase[[#This Row],[Age]]&gt;=18, BikePurchase[[#This Row],[Age]]&lt;=30), "Adolescent",
  AND(BikePurchase[[#This Row],[Age]]&gt;30, BikePurchase[[#This Row],[Age]]&lt;55), "Middle Aged",
  AND(BikePurchase[[#This Row],[Age]]&gt;=55, BikePurchase[[#This Row],[Age]]&lt;90), "Old",
  TRUE, "Invalid"
)</f>
        <v>Middle Aged</v>
      </c>
      <c r="P436" t="s">
        <v>13</v>
      </c>
      <c r="Q436" t="str">
        <f>IF(BikePurchase[[#This Row],[Purchased BikeX]]="No","Not Purchased","Purchased")</f>
        <v>Purchased</v>
      </c>
    </row>
    <row r="437" spans="1:17" x14ac:dyDescent="0.3">
      <c r="A437">
        <v>29447</v>
      </c>
      <c r="B437" t="s">
        <v>31</v>
      </c>
      <c r="C437" t="str">
        <f t="shared" si="12"/>
        <v>Single</v>
      </c>
      <c r="D437" t="s">
        <v>29</v>
      </c>
      <c r="E437" t="str">
        <f t="shared" si="13"/>
        <v>Female</v>
      </c>
      <c r="F437" s="2">
        <v>10000</v>
      </c>
      <c r="G437">
        <v>2</v>
      </c>
      <c r="H437" t="s">
        <v>11</v>
      </c>
      <c r="I437" t="s">
        <v>17</v>
      </c>
      <c r="J437" t="s">
        <v>15</v>
      </c>
      <c r="K437">
        <v>1</v>
      </c>
      <c r="L437" t="s">
        <v>19</v>
      </c>
      <c r="M437" t="s">
        <v>14</v>
      </c>
      <c r="N437" s="2">
        <v>68</v>
      </c>
      <c r="O437" t="str" cm="1">
        <f t="array" ref="O437">_xlfn.IFS(
  AND(BikePurchase[[#This Row],[Age]]&gt;=18, BikePurchase[[#This Row],[Age]]&lt;=30), "Adolescent",
  AND(BikePurchase[[#This Row],[Age]]&gt;30, BikePurchase[[#This Row],[Age]]&lt;55), "Middle Aged",
  AND(BikePurchase[[#This Row],[Age]]&gt;=55, BikePurchase[[#This Row],[Age]]&lt;90), "Old",
  TRUE, "Invalid"
)</f>
        <v>Old</v>
      </c>
      <c r="P437" t="s">
        <v>15</v>
      </c>
      <c r="Q437" t="str">
        <f>IF(BikePurchase[[#This Row],[Purchased BikeX]]="No","Not Purchased","Purchased")</f>
        <v>Not Purchased</v>
      </c>
    </row>
    <row r="438" spans="1:17" x14ac:dyDescent="0.3">
      <c r="A438">
        <v>19784</v>
      </c>
      <c r="B438" t="s">
        <v>30</v>
      </c>
      <c r="C438" t="str">
        <f t="shared" si="12"/>
        <v>Married</v>
      </c>
      <c r="D438" t="s">
        <v>29</v>
      </c>
      <c r="E438" t="str">
        <f t="shared" si="13"/>
        <v>Female</v>
      </c>
      <c r="F438" s="2">
        <v>80000</v>
      </c>
      <c r="G438">
        <v>2</v>
      </c>
      <c r="H438" t="s">
        <v>24</v>
      </c>
      <c r="I438" t="s">
        <v>12</v>
      </c>
      <c r="J438" t="s">
        <v>13</v>
      </c>
      <c r="K438">
        <v>2</v>
      </c>
      <c r="L438" t="s">
        <v>20</v>
      </c>
      <c r="M438" t="s">
        <v>21</v>
      </c>
      <c r="N438" s="2">
        <v>50</v>
      </c>
      <c r="O438" t="str" cm="1">
        <f t="array" ref="O438">_xlfn.IFS(
  AND(BikePurchase[[#This Row],[Age]]&gt;=18, BikePurchase[[#This Row],[Age]]&lt;=30), "Adolescent",
  AND(BikePurchase[[#This Row],[Age]]&gt;30, BikePurchase[[#This Row],[Age]]&lt;55), "Middle Aged",
  AND(BikePurchase[[#This Row],[Age]]&gt;=55, BikePurchase[[#This Row],[Age]]&lt;90), "Old",
  TRUE, "Invalid"
)</f>
        <v>Middle Aged</v>
      </c>
      <c r="P438" t="s">
        <v>13</v>
      </c>
      <c r="Q438" t="str">
        <f>IF(BikePurchase[[#This Row],[Purchased BikeX]]="No","Not Purchased","Purchased")</f>
        <v>Purchased</v>
      </c>
    </row>
    <row r="439" spans="1:17" x14ac:dyDescent="0.3">
      <c r="A439">
        <v>27824</v>
      </c>
      <c r="B439" t="s">
        <v>31</v>
      </c>
      <c r="C439" t="str">
        <f t="shared" si="12"/>
        <v>Single</v>
      </c>
      <c r="D439" t="s">
        <v>29</v>
      </c>
      <c r="E439" t="str">
        <f t="shared" si="13"/>
        <v>Female</v>
      </c>
      <c r="F439" s="2">
        <v>30000</v>
      </c>
      <c r="G439">
        <v>3</v>
      </c>
      <c r="H439" t="s">
        <v>16</v>
      </c>
      <c r="I439" t="s">
        <v>17</v>
      </c>
      <c r="J439" t="s">
        <v>13</v>
      </c>
      <c r="K439">
        <v>2</v>
      </c>
      <c r="L439" t="s">
        <v>35</v>
      </c>
      <c r="M439" t="s">
        <v>14</v>
      </c>
      <c r="N439" s="2">
        <v>28</v>
      </c>
      <c r="O439" t="str" cm="1">
        <f t="array" ref="O439">_xlfn.IFS(
  AND(BikePurchase[[#This Row],[Age]]&gt;=18, BikePurchase[[#This Row],[Age]]&lt;=30), "Adolescent",
  AND(BikePurchase[[#This Row],[Age]]&gt;30, BikePurchase[[#This Row],[Age]]&lt;55), "Middle Aged",
  AND(BikePurchase[[#This Row],[Age]]&gt;=55, BikePurchase[[#This Row],[Age]]&lt;90), "Old",
  TRUE, "Invalid"
)</f>
        <v>Adolescent</v>
      </c>
      <c r="P439" t="s">
        <v>13</v>
      </c>
      <c r="Q439" t="str">
        <f>IF(BikePurchase[[#This Row],[Purchased BikeX]]="No","Not Purchased","Purchased")</f>
        <v>Purchased</v>
      </c>
    </row>
    <row r="440" spans="1:17" x14ac:dyDescent="0.3">
      <c r="A440">
        <v>24093</v>
      </c>
      <c r="B440" t="s">
        <v>31</v>
      </c>
      <c r="C440" t="str">
        <f t="shared" si="12"/>
        <v>Single</v>
      </c>
      <c r="D440" t="s">
        <v>29</v>
      </c>
      <c r="E440" t="str">
        <f t="shared" si="13"/>
        <v>Female</v>
      </c>
      <c r="F440" s="2">
        <v>80000</v>
      </c>
      <c r="G440">
        <v>0</v>
      </c>
      <c r="H440" t="s">
        <v>27</v>
      </c>
      <c r="I440" t="s">
        <v>12</v>
      </c>
      <c r="J440" t="s">
        <v>15</v>
      </c>
      <c r="K440">
        <v>0</v>
      </c>
      <c r="L440" t="s">
        <v>35</v>
      </c>
      <c r="M440" t="s">
        <v>14</v>
      </c>
      <c r="N440" s="2">
        <v>40</v>
      </c>
      <c r="O440" t="str" cm="1">
        <f t="array" ref="O440">_xlfn.IFS(
  AND(BikePurchase[[#This Row],[Age]]&gt;=18, BikePurchase[[#This Row],[Age]]&lt;=30), "Adolescent",
  AND(BikePurchase[[#This Row],[Age]]&gt;30, BikePurchase[[#This Row],[Age]]&lt;55), "Middle Aged",
  AND(BikePurchase[[#This Row],[Age]]&gt;=55, BikePurchase[[#This Row],[Age]]&lt;90), "Old",
  TRUE, "Invalid"
)</f>
        <v>Middle Aged</v>
      </c>
      <c r="P440" t="s">
        <v>13</v>
      </c>
      <c r="Q440" t="str">
        <f>IF(BikePurchase[[#This Row],[Purchased BikeX]]="No","Not Purchased","Purchased")</f>
        <v>Purchased</v>
      </c>
    </row>
    <row r="441" spans="1:17" x14ac:dyDescent="0.3">
      <c r="A441">
        <v>19618</v>
      </c>
      <c r="B441" t="s">
        <v>30</v>
      </c>
      <c r="C441" t="str">
        <f t="shared" si="12"/>
        <v>Married</v>
      </c>
      <c r="D441" t="s">
        <v>30</v>
      </c>
      <c r="E441" t="str">
        <f t="shared" si="13"/>
        <v>Male</v>
      </c>
      <c r="F441" s="2">
        <v>70000</v>
      </c>
      <c r="G441">
        <v>5</v>
      </c>
      <c r="H441" t="s">
        <v>16</v>
      </c>
      <c r="I441" t="s">
        <v>12</v>
      </c>
      <c r="J441" t="s">
        <v>13</v>
      </c>
      <c r="K441">
        <v>2</v>
      </c>
      <c r="L441" t="s">
        <v>35</v>
      </c>
      <c r="M441" t="s">
        <v>21</v>
      </c>
      <c r="N441" s="2">
        <v>44</v>
      </c>
      <c r="O441" t="str" cm="1">
        <f t="array" ref="O441">_xlfn.IFS(
  AND(BikePurchase[[#This Row],[Age]]&gt;=18, BikePurchase[[#This Row],[Age]]&lt;=30), "Adolescent",
  AND(BikePurchase[[#This Row],[Age]]&gt;30, BikePurchase[[#This Row],[Age]]&lt;55), "Middle Aged",
  AND(BikePurchase[[#This Row],[Age]]&gt;=55, BikePurchase[[#This Row],[Age]]&lt;90), "Old",
  TRUE, "Invalid"
)</f>
        <v>Middle Aged</v>
      </c>
      <c r="P441" t="s">
        <v>15</v>
      </c>
      <c r="Q441" t="str">
        <f>IF(BikePurchase[[#This Row],[Purchased BikeX]]="No","Not Purchased","Purchased")</f>
        <v>Not Purchased</v>
      </c>
    </row>
    <row r="442" spans="1:17" x14ac:dyDescent="0.3">
      <c r="A442">
        <v>21561</v>
      </c>
      <c r="B442" t="s">
        <v>31</v>
      </c>
      <c r="C442" t="str">
        <f t="shared" si="12"/>
        <v>Single</v>
      </c>
      <c r="D442" t="s">
        <v>30</v>
      </c>
      <c r="E442" t="str">
        <f t="shared" si="13"/>
        <v>Male</v>
      </c>
      <c r="F442" s="2">
        <v>90000</v>
      </c>
      <c r="G442">
        <v>0</v>
      </c>
      <c r="H442" t="s">
        <v>11</v>
      </c>
      <c r="I442" t="s">
        <v>18</v>
      </c>
      <c r="J442" t="s">
        <v>15</v>
      </c>
      <c r="K442">
        <v>3</v>
      </c>
      <c r="L442" t="s">
        <v>48</v>
      </c>
      <c r="M442" t="s">
        <v>21</v>
      </c>
      <c r="N442" s="2">
        <v>34</v>
      </c>
      <c r="O442" t="str" cm="1">
        <f t="array" ref="O442">_xlfn.IFS(
  AND(BikePurchase[[#This Row],[Age]]&gt;=18, BikePurchase[[#This Row],[Age]]&lt;=30), "Adolescent",
  AND(BikePurchase[[#This Row],[Age]]&gt;30, BikePurchase[[#This Row],[Age]]&lt;55), "Middle Aged",
  AND(BikePurchase[[#This Row],[Age]]&gt;=55, BikePurchase[[#This Row],[Age]]&lt;90), "Old",
  TRUE, "Invalid"
)</f>
        <v>Middle Aged</v>
      </c>
      <c r="P442" t="s">
        <v>13</v>
      </c>
      <c r="Q442" t="str">
        <f>IF(BikePurchase[[#This Row],[Purchased BikeX]]="No","Not Purchased","Purchased")</f>
        <v>Purchased</v>
      </c>
    </row>
    <row r="443" spans="1:17" x14ac:dyDescent="0.3">
      <c r="A443">
        <v>11061</v>
      </c>
      <c r="B443" t="s">
        <v>30</v>
      </c>
      <c r="C443" t="str">
        <f t="shared" si="12"/>
        <v>Married</v>
      </c>
      <c r="D443" t="s">
        <v>30</v>
      </c>
      <c r="E443" t="str">
        <f t="shared" si="13"/>
        <v>Male</v>
      </c>
      <c r="F443" s="2">
        <v>70000</v>
      </c>
      <c r="G443">
        <v>2</v>
      </c>
      <c r="H443" t="s">
        <v>16</v>
      </c>
      <c r="I443" t="s">
        <v>12</v>
      </c>
      <c r="J443" t="s">
        <v>13</v>
      </c>
      <c r="K443">
        <v>2</v>
      </c>
      <c r="L443" t="s">
        <v>20</v>
      </c>
      <c r="M443" t="s">
        <v>21</v>
      </c>
      <c r="N443" s="2">
        <v>52</v>
      </c>
      <c r="O443" t="str" cm="1">
        <f t="array" ref="O443">_xlfn.IFS(
  AND(BikePurchase[[#This Row],[Age]]&gt;=18, BikePurchase[[#This Row],[Age]]&lt;=30), "Adolescent",
  AND(BikePurchase[[#This Row],[Age]]&gt;30, BikePurchase[[#This Row],[Age]]&lt;55), "Middle Aged",
  AND(BikePurchase[[#This Row],[Age]]&gt;=55, BikePurchase[[#This Row],[Age]]&lt;90), "Old",
  TRUE, "Invalid"
)</f>
        <v>Middle Aged</v>
      </c>
      <c r="P443" t="s">
        <v>13</v>
      </c>
      <c r="Q443" t="str">
        <f>IF(BikePurchase[[#This Row],[Purchased BikeX]]="No","Not Purchased","Purchased")</f>
        <v>Purchased</v>
      </c>
    </row>
    <row r="444" spans="1:17" x14ac:dyDescent="0.3">
      <c r="A444">
        <v>26651</v>
      </c>
      <c r="B444" t="s">
        <v>31</v>
      </c>
      <c r="C444" t="str">
        <f t="shared" si="12"/>
        <v>Single</v>
      </c>
      <c r="D444" t="s">
        <v>30</v>
      </c>
      <c r="E444" t="str">
        <f t="shared" si="13"/>
        <v>Male</v>
      </c>
      <c r="F444" s="2">
        <v>80000</v>
      </c>
      <c r="G444">
        <v>4</v>
      </c>
      <c r="H444" t="s">
        <v>27</v>
      </c>
      <c r="I444" t="s">
        <v>25</v>
      </c>
      <c r="J444" t="s">
        <v>13</v>
      </c>
      <c r="K444">
        <v>0</v>
      </c>
      <c r="L444" t="s">
        <v>35</v>
      </c>
      <c r="M444" t="s">
        <v>21</v>
      </c>
      <c r="N444" s="2">
        <v>36</v>
      </c>
      <c r="O444" t="str" cm="1">
        <f t="array" ref="O444">_xlfn.IFS(
  AND(BikePurchase[[#This Row],[Age]]&gt;=18, BikePurchase[[#This Row],[Age]]&lt;=30), "Adolescent",
  AND(BikePurchase[[#This Row],[Age]]&gt;30, BikePurchase[[#This Row],[Age]]&lt;55), "Middle Aged",
  AND(BikePurchase[[#This Row],[Age]]&gt;=55, BikePurchase[[#This Row],[Age]]&lt;90), "Old",
  TRUE, "Invalid"
)</f>
        <v>Middle Aged</v>
      </c>
      <c r="P444" t="s">
        <v>13</v>
      </c>
      <c r="Q444" t="str">
        <f>IF(BikePurchase[[#This Row],[Purchased BikeX]]="No","Not Purchased","Purchased")</f>
        <v>Purchased</v>
      </c>
    </row>
    <row r="445" spans="1:17" x14ac:dyDescent="0.3">
      <c r="A445">
        <v>21108</v>
      </c>
      <c r="B445" t="s">
        <v>30</v>
      </c>
      <c r="C445" t="str">
        <f t="shared" si="12"/>
        <v>Married</v>
      </c>
      <c r="D445" t="s">
        <v>29</v>
      </c>
      <c r="E445" t="str">
        <f t="shared" si="13"/>
        <v>Female</v>
      </c>
      <c r="F445" s="2">
        <v>40000</v>
      </c>
      <c r="G445">
        <v>1</v>
      </c>
      <c r="H445" t="s">
        <v>11</v>
      </c>
      <c r="I445" t="s">
        <v>12</v>
      </c>
      <c r="J445" t="s">
        <v>13</v>
      </c>
      <c r="K445">
        <v>1</v>
      </c>
      <c r="L445" t="s">
        <v>35</v>
      </c>
      <c r="M445" t="s">
        <v>14</v>
      </c>
      <c r="N445" s="2">
        <v>43</v>
      </c>
      <c r="O445" t="str" cm="1">
        <f t="array" ref="O445">_xlfn.IFS(
  AND(BikePurchase[[#This Row],[Age]]&gt;=18, BikePurchase[[#This Row],[Age]]&lt;=30), "Adolescent",
  AND(BikePurchase[[#This Row],[Age]]&gt;30, BikePurchase[[#This Row],[Age]]&lt;55), "Middle Aged",
  AND(BikePurchase[[#This Row],[Age]]&gt;=55, BikePurchase[[#This Row],[Age]]&lt;90), "Old",
  TRUE, "Invalid"
)</f>
        <v>Middle Aged</v>
      </c>
      <c r="P445" t="s">
        <v>13</v>
      </c>
      <c r="Q445" t="str">
        <f>IF(BikePurchase[[#This Row],[Purchased BikeX]]="No","Not Purchased","Purchased")</f>
        <v>Purchased</v>
      </c>
    </row>
    <row r="446" spans="1:17" x14ac:dyDescent="0.3">
      <c r="A446">
        <v>12731</v>
      </c>
      <c r="B446" t="s">
        <v>31</v>
      </c>
      <c r="C446" t="str">
        <f t="shared" si="12"/>
        <v>Single</v>
      </c>
      <c r="D446" t="s">
        <v>30</v>
      </c>
      <c r="E446" t="str">
        <f t="shared" si="13"/>
        <v>Male</v>
      </c>
      <c r="F446" s="2">
        <v>30000</v>
      </c>
      <c r="G446">
        <v>0</v>
      </c>
      <c r="H446" t="s">
        <v>24</v>
      </c>
      <c r="I446" t="s">
        <v>22</v>
      </c>
      <c r="J446" t="s">
        <v>15</v>
      </c>
      <c r="K446">
        <v>1</v>
      </c>
      <c r="L446" t="s">
        <v>23</v>
      </c>
      <c r="M446" t="s">
        <v>14</v>
      </c>
      <c r="N446" s="2">
        <v>32</v>
      </c>
      <c r="O446" t="str" cm="1">
        <f t="array" ref="O446">_xlfn.IFS(
  AND(BikePurchase[[#This Row],[Age]]&gt;=18, BikePurchase[[#This Row],[Age]]&lt;=30), "Adolescent",
  AND(BikePurchase[[#This Row],[Age]]&gt;30, BikePurchase[[#This Row],[Age]]&lt;55), "Middle Aged",
  AND(BikePurchase[[#This Row],[Age]]&gt;=55, BikePurchase[[#This Row],[Age]]&lt;90), "Old",
  TRUE, "Invalid"
)</f>
        <v>Middle Aged</v>
      </c>
      <c r="P446" t="s">
        <v>15</v>
      </c>
      <c r="Q446" t="str">
        <f>IF(BikePurchase[[#This Row],[Purchased BikeX]]="No","Not Purchased","Purchased")</f>
        <v>Not Purchased</v>
      </c>
    </row>
    <row r="447" spans="1:17" x14ac:dyDescent="0.3">
      <c r="A447">
        <v>25307</v>
      </c>
      <c r="B447" t="s">
        <v>30</v>
      </c>
      <c r="C447" t="str">
        <f t="shared" si="12"/>
        <v>Married</v>
      </c>
      <c r="D447" t="s">
        <v>29</v>
      </c>
      <c r="E447" t="str">
        <f t="shared" si="13"/>
        <v>Female</v>
      </c>
      <c r="F447" s="2">
        <v>40000</v>
      </c>
      <c r="G447">
        <v>1</v>
      </c>
      <c r="H447" t="s">
        <v>11</v>
      </c>
      <c r="I447" t="s">
        <v>12</v>
      </c>
      <c r="J447" t="s">
        <v>13</v>
      </c>
      <c r="K447">
        <v>1</v>
      </c>
      <c r="L447" t="s">
        <v>23</v>
      </c>
      <c r="M447" t="s">
        <v>14</v>
      </c>
      <c r="N447" s="2">
        <v>32</v>
      </c>
      <c r="O447" t="str" cm="1">
        <f t="array" ref="O447">_xlfn.IFS(
  AND(BikePurchase[[#This Row],[Age]]&gt;=18, BikePurchase[[#This Row],[Age]]&lt;=30), "Adolescent",
  AND(BikePurchase[[#This Row],[Age]]&gt;30, BikePurchase[[#This Row],[Age]]&lt;55), "Middle Aged",
  AND(BikePurchase[[#This Row],[Age]]&gt;=55, BikePurchase[[#This Row],[Age]]&lt;90), "Old",
  TRUE, "Invalid"
)</f>
        <v>Middle Aged</v>
      </c>
      <c r="P447" t="s">
        <v>13</v>
      </c>
      <c r="Q447" t="str">
        <f>IF(BikePurchase[[#This Row],[Purchased BikeX]]="No","Not Purchased","Purchased")</f>
        <v>Purchased</v>
      </c>
    </row>
    <row r="448" spans="1:17" x14ac:dyDescent="0.3">
      <c r="A448">
        <v>14278</v>
      </c>
      <c r="B448" t="s">
        <v>30</v>
      </c>
      <c r="C448" t="str">
        <f t="shared" si="12"/>
        <v>Married</v>
      </c>
      <c r="D448" t="s">
        <v>29</v>
      </c>
      <c r="E448" t="str">
        <f t="shared" si="13"/>
        <v>Female</v>
      </c>
      <c r="F448" s="2">
        <v>130000</v>
      </c>
      <c r="G448">
        <v>0</v>
      </c>
      <c r="H448" t="s">
        <v>27</v>
      </c>
      <c r="I448" t="s">
        <v>25</v>
      </c>
      <c r="J448" t="s">
        <v>13</v>
      </c>
      <c r="K448">
        <v>1</v>
      </c>
      <c r="L448" t="s">
        <v>48</v>
      </c>
      <c r="M448" t="s">
        <v>21</v>
      </c>
      <c r="N448" s="2">
        <v>48</v>
      </c>
      <c r="O448" t="str" cm="1">
        <f t="array" ref="O448">_xlfn.IFS(
  AND(BikePurchase[[#This Row],[Age]]&gt;=18, BikePurchase[[#This Row],[Age]]&lt;=30), "Adolescent",
  AND(BikePurchase[[#This Row],[Age]]&gt;30, BikePurchase[[#This Row],[Age]]&lt;55), "Middle Aged",
  AND(BikePurchase[[#This Row],[Age]]&gt;=55, BikePurchase[[#This Row],[Age]]&lt;90), "Old",
  TRUE, "Invalid"
)</f>
        <v>Middle Aged</v>
      </c>
      <c r="P448" t="s">
        <v>15</v>
      </c>
      <c r="Q448" t="str">
        <f>IF(BikePurchase[[#This Row],[Purchased BikeX]]="No","Not Purchased","Purchased")</f>
        <v>Not Purchased</v>
      </c>
    </row>
    <row r="449" spans="1:17" x14ac:dyDescent="0.3">
      <c r="A449">
        <v>20711</v>
      </c>
      <c r="B449" t="s">
        <v>30</v>
      </c>
      <c r="C449" t="str">
        <f t="shared" si="12"/>
        <v>Married</v>
      </c>
      <c r="D449" t="s">
        <v>29</v>
      </c>
      <c r="E449" t="str">
        <f t="shared" si="13"/>
        <v>Female</v>
      </c>
      <c r="F449" s="2">
        <v>40000</v>
      </c>
      <c r="G449">
        <v>1</v>
      </c>
      <c r="H449" t="s">
        <v>11</v>
      </c>
      <c r="I449" t="s">
        <v>12</v>
      </c>
      <c r="J449" t="s">
        <v>13</v>
      </c>
      <c r="K449">
        <v>0</v>
      </c>
      <c r="L449" t="s">
        <v>23</v>
      </c>
      <c r="M449" t="s">
        <v>14</v>
      </c>
      <c r="N449" s="2">
        <v>32</v>
      </c>
      <c r="O449" t="str" cm="1">
        <f t="array" ref="O449">_xlfn.IFS(
  AND(BikePurchase[[#This Row],[Age]]&gt;=18, BikePurchase[[#This Row],[Age]]&lt;=30), "Adolescent",
  AND(BikePurchase[[#This Row],[Age]]&gt;30, BikePurchase[[#This Row],[Age]]&lt;55), "Middle Aged",
  AND(BikePurchase[[#This Row],[Age]]&gt;=55, BikePurchase[[#This Row],[Age]]&lt;90), "Old",
  TRUE, "Invalid"
)</f>
        <v>Middle Aged</v>
      </c>
      <c r="P449" t="s">
        <v>13</v>
      </c>
      <c r="Q449" t="str">
        <f>IF(BikePurchase[[#This Row],[Purchased BikeX]]="No","Not Purchased","Purchased")</f>
        <v>Purchased</v>
      </c>
    </row>
    <row r="450" spans="1:17" x14ac:dyDescent="0.3">
      <c r="A450">
        <v>11383</v>
      </c>
      <c r="B450" t="s">
        <v>30</v>
      </c>
      <c r="C450" t="str">
        <f t="shared" ref="C450:C513" si="14">IF(B450="M","Married","Single")</f>
        <v>Married</v>
      </c>
      <c r="D450" t="s">
        <v>29</v>
      </c>
      <c r="E450" t="str">
        <f t="shared" ref="E450:E513" si="15">IF(D450="F","Female","Male")</f>
        <v>Female</v>
      </c>
      <c r="F450" s="2">
        <v>30000</v>
      </c>
      <c r="G450">
        <v>3</v>
      </c>
      <c r="H450" t="s">
        <v>27</v>
      </c>
      <c r="I450" t="s">
        <v>17</v>
      </c>
      <c r="J450" t="s">
        <v>13</v>
      </c>
      <c r="K450">
        <v>0</v>
      </c>
      <c r="L450" t="s">
        <v>35</v>
      </c>
      <c r="M450" t="s">
        <v>14</v>
      </c>
      <c r="N450" s="2">
        <v>46</v>
      </c>
      <c r="O450" t="str" cm="1">
        <f t="array" ref="O450">_xlfn.IFS(
  AND(BikePurchase[[#This Row],[Age]]&gt;=18, BikePurchase[[#This Row],[Age]]&lt;=30), "Adolescent",
  AND(BikePurchase[[#This Row],[Age]]&gt;30, BikePurchase[[#This Row],[Age]]&lt;55), "Middle Aged",
  AND(BikePurchase[[#This Row],[Age]]&gt;=55, BikePurchase[[#This Row],[Age]]&lt;90), "Old",
  TRUE, "Invalid"
)</f>
        <v>Middle Aged</v>
      </c>
      <c r="P450" t="s">
        <v>15</v>
      </c>
      <c r="Q450" t="str">
        <f>IF(BikePurchase[[#This Row],[Purchased BikeX]]="No","Not Purchased","Purchased")</f>
        <v>Not Purchased</v>
      </c>
    </row>
    <row r="451" spans="1:17" x14ac:dyDescent="0.3">
      <c r="A451">
        <v>12497</v>
      </c>
      <c r="B451" t="s">
        <v>30</v>
      </c>
      <c r="C451" t="str">
        <f t="shared" si="14"/>
        <v>Married</v>
      </c>
      <c r="D451" t="s">
        <v>29</v>
      </c>
      <c r="E451" t="str">
        <f t="shared" si="15"/>
        <v>Female</v>
      </c>
      <c r="F451" s="2">
        <v>40000</v>
      </c>
      <c r="G451">
        <v>1</v>
      </c>
      <c r="H451" t="s">
        <v>11</v>
      </c>
      <c r="I451" t="s">
        <v>12</v>
      </c>
      <c r="J451" t="s">
        <v>13</v>
      </c>
      <c r="K451">
        <v>0</v>
      </c>
      <c r="L451" t="s">
        <v>35</v>
      </c>
      <c r="M451" t="s">
        <v>14</v>
      </c>
      <c r="N451" s="2">
        <v>42</v>
      </c>
      <c r="O451" t="str" cm="1">
        <f t="array" ref="O451">_xlfn.IFS(
  AND(BikePurchase[[#This Row],[Age]]&gt;=18, BikePurchase[[#This Row],[Age]]&lt;=30), "Adolescent",
  AND(BikePurchase[[#This Row],[Age]]&gt;30, BikePurchase[[#This Row],[Age]]&lt;55), "Middle Aged",
  AND(BikePurchase[[#This Row],[Age]]&gt;=55, BikePurchase[[#This Row],[Age]]&lt;90), "Old",
  TRUE, "Invalid"
)</f>
        <v>Middle Aged</v>
      </c>
      <c r="P451" t="s">
        <v>15</v>
      </c>
      <c r="Q451" t="str">
        <f>IF(BikePurchase[[#This Row],[Purchased BikeX]]="No","Not Purchased","Purchased")</f>
        <v>Not Purchased</v>
      </c>
    </row>
    <row r="452" spans="1:17" x14ac:dyDescent="0.3">
      <c r="A452">
        <v>16559</v>
      </c>
      <c r="B452" t="s">
        <v>31</v>
      </c>
      <c r="C452" t="str">
        <f t="shared" si="14"/>
        <v>Single</v>
      </c>
      <c r="D452" t="s">
        <v>29</v>
      </c>
      <c r="E452" t="str">
        <f t="shared" si="15"/>
        <v>Female</v>
      </c>
      <c r="F452" s="2">
        <v>10000</v>
      </c>
      <c r="G452">
        <v>2</v>
      </c>
      <c r="H452" t="s">
        <v>24</v>
      </c>
      <c r="I452" t="s">
        <v>22</v>
      </c>
      <c r="J452" t="s">
        <v>13</v>
      </c>
      <c r="K452">
        <v>0</v>
      </c>
      <c r="L452" t="s">
        <v>35</v>
      </c>
      <c r="M452" t="s">
        <v>14</v>
      </c>
      <c r="N452" s="2">
        <v>36</v>
      </c>
      <c r="O452" t="str" cm="1">
        <f t="array" ref="O452">_xlfn.IFS(
  AND(BikePurchase[[#This Row],[Age]]&gt;=18, BikePurchase[[#This Row],[Age]]&lt;=30), "Adolescent",
  AND(BikePurchase[[#This Row],[Age]]&gt;30, BikePurchase[[#This Row],[Age]]&lt;55), "Middle Aged",
  AND(BikePurchase[[#This Row],[Age]]&gt;=55, BikePurchase[[#This Row],[Age]]&lt;90), "Old",
  TRUE, "Invalid"
)</f>
        <v>Middle Aged</v>
      </c>
      <c r="P452" t="s">
        <v>13</v>
      </c>
      <c r="Q452" t="str">
        <f>IF(BikePurchase[[#This Row],[Purchased BikeX]]="No","Not Purchased","Purchased")</f>
        <v>Purchased</v>
      </c>
    </row>
    <row r="453" spans="1:17" x14ac:dyDescent="0.3">
      <c r="A453">
        <v>11585</v>
      </c>
      <c r="B453" t="s">
        <v>30</v>
      </c>
      <c r="C453" t="str">
        <f t="shared" si="14"/>
        <v>Married</v>
      </c>
      <c r="D453" t="s">
        <v>29</v>
      </c>
      <c r="E453" t="str">
        <f t="shared" si="15"/>
        <v>Female</v>
      </c>
      <c r="F453" s="2">
        <v>40000</v>
      </c>
      <c r="G453">
        <v>1</v>
      </c>
      <c r="H453" t="s">
        <v>11</v>
      </c>
      <c r="I453" t="s">
        <v>12</v>
      </c>
      <c r="J453" t="s">
        <v>13</v>
      </c>
      <c r="K453">
        <v>0</v>
      </c>
      <c r="L453" t="s">
        <v>35</v>
      </c>
      <c r="M453" t="s">
        <v>14</v>
      </c>
      <c r="N453" s="2">
        <v>41</v>
      </c>
      <c r="O453" t="str" cm="1">
        <f t="array" ref="O453">_xlfn.IFS(
  AND(BikePurchase[[#This Row],[Age]]&gt;=18, BikePurchase[[#This Row],[Age]]&lt;=30), "Adolescent",
  AND(BikePurchase[[#This Row],[Age]]&gt;30, BikePurchase[[#This Row],[Age]]&lt;55), "Middle Aged",
  AND(BikePurchase[[#This Row],[Age]]&gt;=55, BikePurchase[[#This Row],[Age]]&lt;90), "Old",
  TRUE, "Invalid"
)</f>
        <v>Middle Aged</v>
      </c>
      <c r="P453" t="s">
        <v>15</v>
      </c>
      <c r="Q453" t="str">
        <f>IF(BikePurchase[[#This Row],[Purchased BikeX]]="No","Not Purchased","Purchased")</f>
        <v>Not Purchased</v>
      </c>
    </row>
    <row r="454" spans="1:17" x14ac:dyDescent="0.3">
      <c r="A454">
        <v>20277</v>
      </c>
      <c r="B454" t="s">
        <v>30</v>
      </c>
      <c r="C454" t="str">
        <f t="shared" si="14"/>
        <v>Married</v>
      </c>
      <c r="D454" t="s">
        <v>29</v>
      </c>
      <c r="E454" t="str">
        <f t="shared" si="15"/>
        <v>Female</v>
      </c>
      <c r="F454" s="2">
        <v>30000</v>
      </c>
      <c r="G454">
        <v>2</v>
      </c>
      <c r="H454" t="s">
        <v>16</v>
      </c>
      <c r="I454" t="s">
        <v>17</v>
      </c>
      <c r="J454" t="s">
        <v>15</v>
      </c>
      <c r="K454">
        <v>2</v>
      </c>
      <c r="L454" t="s">
        <v>35</v>
      </c>
      <c r="M454" t="s">
        <v>21</v>
      </c>
      <c r="N454" s="2">
        <v>69</v>
      </c>
      <c r="O454" t="str" cm="1">
        <f t="array" ref="O454">_xlfn.IFS(
  AND(BikePurchase[[#This Row],[Age]]&gt;=18, BikePurchase[[#This Row],[Age]]&lt;=30), "Adolescent",
  AND(BikePurchase[[#This Row],[Age]]&gt;30, BikePurchase[[#This Row],[Age]]&lt;55), "Middle Aged",
  AND(BikePurchase[[#This Row],[Age]]&gt;=55, BikePurchase[[#This Row],[Age]]&lt;90), "Old",
  TRUE, "Invalid"
)</f>
        <v>Old</v>
      </c>
      <c r="P454" t="s">
        <v>15</v>
      </c>
      <c r="Q454" t="str">
        <f>IF(BikePurchase[[#This Row],[Purchased BikeX]]="No","Not Purchased","Purchased")</f>
        <v>Not Purchased</v>
      </c>
    </row>
    <row r="455" spans="1:17" x14ac:dyDescent="0.3">
      <c r="A455">
        <v>26765</v>
      </c>
      <c r="B455" t="s">
        <v>31</v>
      </c>
      <c r="C455" t="str">
        <f t="shared" si="14"/>
        <v>Single</v>
      </c>
      <c r="D455" t="s">
        <v>29</v>
      </c>
      <c r="E455" t="str">
        <f t="shared" si="15"/>
        <v>Female</v>
      </c>
      <c r="F455" s="2">
        <v>70000</v>
      </c>
      <c r="G455">
        <v>5</v>
      </c>
      <c r="H455" t="s">
        <v>16</v>
      </c>
      <c r="I455" t="s">
        <v>12</v>
      </c>
      <c r="J455" t="s">
        <v>13</v>
      </c>
      <c r="K455">
        <v>2</v>
      </c>
      <c r="L455" t="s">
        <v>20</v>
      </c>
      <c r="M455" t="s">
        <v>21</v>
      </c>
      <c r="N455" s="2">
        <v>45</v>
      </c>
      <c r="O455" t="str" cm="1">
        <f t="array" ref="O455">_xlfn.IFS(
  AND(BikePurchase[[#This Row],[Age]]&gt;=18, BikePurchase[[#This Row],[Age]]&lt;=30), "Adolescent",
  AND(BikePurchase[[#This Row],[Age]]&gt;30, BikePurchase[[#This Row],[Age]]&lt;55), "Middle Aged",
  AND(BikePurchase[[#This Row],[Age]]&gt;=55, BikePurchase[[#This Row],[Age]]&lt;90), "Old",
  TRUE, "Invalid"
)</f>
        <v>Middle Aged</v>
      </c>
      <c r="P455" t="s">
        <v>15</v>
      </c>
      <c r="Q455" t="str">
        <f>IF(BikePurchase[[#This Row],[Purchased BikeX]]="No","Not Purchased","Purchased")</f>
        <v>Not Purchased</v>
      </c>
    </row>
    <row r="456" spans="1:17" x14ac:dyDescent="0.3">
      <c r="A456">
        <v>12389</v>
      </c>
      <c r="B456" t="s">
        <v>31</v>
      </c>
      <c r="C456" t="str">
        <f t="shared" si="14"/>
        <v>Single</v>
      </c>
      <c r="D456" t="s">
        <v>30</v>
      </c>
      <c r="E456" t="str">
        <f t="shared" si="15"/>
        <v>Male</v>
      </c>
      <c r="F456" s="2">
        <v>30000</v>
      </c>
      <c r="G456">
        <v>0</v>
      </c>
      <c r="H456" t="s">
        <v>24</v>
      </c>
      <c r="I456" t="s">
        <v>22</v>
      </c>
      <c r="J456" t="s">
        <v>15</v>
      </c>
      <c r="K456">
        <v>1</v>
      </c>
      <c r="L456" t="s">
        <v>19</v>
      </c>
      <c r="M456" t="s">
        <v>14</v>
      </c>
      <c r="N456" s="2">
        <v>34</v>
      </c>
      <c r="O456" t="str" cm="1">
        <f t="array" ref="O456">_xlfn.IFS(
  AND(BikePurchase[[#This Row],[Age]]&gt;=18, BikePurchase[[#This Row],[Age]]&lt;=30), "Adolescent",
  AND(BikePurchase[[#This Row],[Age]]&gt;30, BikePurchase[[#This Row],[Age]]&lt;55), "Middle Aged",
  AND(BikePurchase[[#This Row],[Age]]&gt;=55, BikePurchase[[#This Row],[Age]]&lt;90), "Old",
  TRUE, "Invalid"
)</f>
        <v>Middle Aged</v>
      </c>
      <c r="P456" t="s">
        <v>15</v>
      </c>
      <c r="Q456" t="str">
        <f>IF(BikePurchase[[#This Row],[Purchased BikeX]]="No","Not Purchased","Purchased")</f>
        <v>Not Purchased</v>
      </c>
    </row>
    <row r="457" spans="1:17" x14ac:dyDescent="0.3">
      <c r="A457">
        <v>13585</v>
      </c>
      <c r="B457" t="s">
        <v>30</v>
      </c>
      <c r="C457" t="str">
        <f t="shared" si="14"/>
        <v>Married</v>
      </c>
      <c r="D457" t="s">
        <v>29</v>
      </c>
      <c r="E457" t="str">
        <f t="shared" si="15"/>
        <v>Female</v>
      </c>
      <c r="F457" s="2">
        <v>80000</v>
      </c>
      <c r="G457">
        <v>4</v>
      </c>
      <c r="H457" t="s">
        <v>16</v>
      </c>
      <c r="I457" t="s">
        <v>18</v>
      </c>
      <c r="J457" t="s">
        <v>15</v>
      </c>
      <c r="K457">
        <v>1</v>
      </c>
      <c r="L457" t="s">
        <v>19</v>
      </c>
      <c r="M457" t="s">
        <v>14</v>
      </c>
      <c r="N457" s="2">
        <v>53</v>
      </c>
      <c r="O457" t="str" cm="1">
        <f t="array" ref="O457">_xlfn.IFS(
  AND(BikePurchase[[#This Row],[Age]]&gt;=18, BikePurchase[[#This Row],[Age]]&lt;=30), "Adolescent",
  AND(BikePurchase[[#This Row],[Age]]&gt;30, BikePurchase[[#This Row],[Age]]&lt;55), "Middle Aged",
  AND(BikePurchase[[#This Row],[Age]]&gt;=55, BikePurchase[[#This Row],[Age]]&lt;90), "Old",
  TRUE, "Invalid"
)</f>
        <v>Middle Aged</v>
      </c>
      <c r="P457" t="s">
        <v>13</v>
      </c>
      <c r="Q457" t="str">
        <f>IF(BikePurchase[[#This Row],[Purchased BikeX]]="No","Not Purchased","Purchased")</f>
        <v>Purchased</v>
      </c>
    </row>
    <row r="458" spans="1:17" x14ac:dyDescent="0.3">
      <c r="A458">
        <v>26385</v>
      </c>
      <c r="B458" t="s">
        <v>31</v>
      </c>
      <c r="C458" t="str">
        <f t="shared" si="14"/>
        <v>Single</v>
      </c>
      <c r="D458" t="s">
        <v>30</v>
      </c>
      <c r="E458" t="str">
        <f t="shared" si="15"/>
        <v>Male</v>
      </c>
      <c r="F458" s="2">
        <v>120000</v>
      </c>
      <c r="G458">
        <v>3</v>
      </c>
      <c r="H458" t="s">
        <v>24</v>
      </c>
      <c r="I458" t="s">
        <v>18</v>
      </c>
      <c r="J458" t="s">
        <v>15</v>
      </c>
      <c r="K458">
        <v>4</v>
      </c>
      <c r="L458" t="s">
        <v>20</v>
      </c>
      <c r="M458" t="s">
        <v>14</v>
      </c>
      <c r="N458" s="2">
        <v>50</v>
      </c>
      <c r="O458" t="str" cm="1">
        <f t="array" ref="O458">_xlfn.IFS(
  AND(BikePurchase[[#This Row],[Age]]&gt;=18, BikePurchase[[#This Row],[Age]]&lt;=30), "Adolescent",
  AND(BikePurchase[[#This Row],[Age]]&gt;30, BikePurchase[[#This Row],[Age]]&lt;55), "Middle Aged",
  AND(BikePurchase[[#This Row],[Age]]&gt;=55, BikePurchase[[#This Row],[Age]]&lt;90), "Old",
  TRUE, "Invalid"
)</f>
        <v>Middle Aged</v>
      </c>
      <c r="P458" t="s">
        <v>15</v>
      </c>
      <c r="Q458" t="str">
        <f>IF(BikePurchase[[#This Row],[Purchased BikeX]]="No","Not Purchased","Purchased")</f>
        <v>Not Purchased</v>
      </c>
    </row>
    <row r="459" spans="1:17" x14ac:dyDescent="0.3">
      <c r="A459">
        <v>12236</v>
      </c>
      <c r="B459" t="s">
        <v>30</v>
      </c>
      <c r="C459" t="str">
        <f t="shared" si="14"/>
        <v>Married</v>
      </c>
      <c r="D459" t="s">
        <v>29</v>
      </c>
      <c r="E459" t="str">
        <f t="shared" si="15"/>
        <v>Female</v>
      </c>
      <c r="F459" s="2">
        <v>20000</v>
      </c>
      <c r="G459">
        <v>1</v>
      </c>
      <c r="H459" t="s">
        <v>16</v>
      </c>
      <c r="I459" t="s">
        <v>22</v>
      </c>
      <c r="J459" t="s">
        <v>13</v>
      </c>
      <c r="K459">
        <v>0</v>
      </c>
      <c r="L459" t="s">
        <v>35</v>
      </c>
      <c r="M459" t="s">
        <v>14</v>
      </c>
      <c r="N459" s="2">
        <v>65</v>
      </c>
      <c r="O459" t="str" cm="1">
        <f t="array" ref="O459">_xlfn.IFS(
  AND(BikePurchase[[#This Row],[Age]]&gt;=18, BikePurchase[[#This Row],[Age]]&lt;=30), "Adolescent",
  AND(BikePurchase[[#This Row],[Age]]&gt;30, BikePurchase[[#This Row],[Age]]&lt;55), "Middle Aged",
  AND(BikePurchase[[#This Row],[Age]]&gt;=55, BikePurchase[[#This Row],[Age]]&lt;90), "Old",
  TRUE, "Invalid"
)</f>
        <v>Old</v>
      </c>
      <c r="P459" t="s">
        <v>15</v>
      </c>
      <c r="Q459" t="str">
        <f>IF(BikePurchase[[#This Row],[Purchased BikeX]]="No","Not Purchased","Purchased")</f>
        <v>Not Purchased</v>
      </c>
    </row>
    <row r="460" spans="1:17" x14ac:dyDescent="0.3">
      <c r="A460">
        <v>21560</v>
      </c>
      <c r="B460" t="s">
        <v>30</v>
      </c>
      <c r="C460" t="str">
        <f t="shared" si="14"/>
        <v>Married</v>
      </c>
      <c r="D460" t="s">
        <v>30</v>
      </c>
      <c r="E460" t="str">
        <f t="shared" si="15"/>
        <v>Male</v>
      </c>
      <c r="F460" s="2">
        <v>120000</v>
      </c>
      <c r="G460">
        <v>0</v>
      </c>
      <c r="H460" t="s">
        <v>26</v>
      </c>
      <c r="I460" t="s">
        <v>18</v>
      </c>
      <c r="J460" t="s">
        <v>13</v>
      </c>
      <c r="K460">
        <v>4</v>
      </c>
      <c r="L460" t="s">
        <v>48</v>
      </c>
      <c r="M460" t="s">
        <v>21</v>
      </c>
      <c r="N460" s="2">
        <v>32</v>
      </c>
      <c r="O460" t="str" cm="1">
        <f t="array" ref="O460">_xlfn.IFS(
  AND(BikePurchase[[#This Row],[Age]]&gt;=18, BikePurchase[[#This Row],[Age]]&lt;=30), "Adolescent",
  AND(BikePurchase[[#This Row],[Age]]&gt;30, BikePurchase[[#This Row],[Age]]&lt;55), "Middle Aged",
  AND(BikePurchase[[#This Row],[Age]]&gt;=55, BikePurchase[[#This Row],[Age]]&lt;90), "Old",
  TRUE, "Invalid"
)</f>
        <v>Middle Aged</v>
      </c>
      <c r="P460" t="s">
        <v>13</v>
      </c>
      <c r="Q460" t="str">
        <f>IF(BikePurchase[[#This Row],[Purchased BikeX]]="No","Not Purchased","Purchased")</f>
        <v>Purchased</v>
      </c>
    </row>
    <row r="461" spans="1:17" x14ac:dyDescent="0.3">
      <c r="A461">
        <v>21554</v>
      </c>
      <c r="B461" t="s">
        <v>31</v>
      </c>
      <c r="C461" t="str">
        <f t="shared" si="14"/>
        <v>Single</v>
      </c>
      <c r="D461" t="s">
        <v>29</v>
      </c>
      <c r="E461" t="str">
        <f t="shared" si="15"/>
        <v>Female</v>
      </c>
      <c r="F461" s="2">
        <v>80000</v>
      </c>
      <c r="G461">
        <v>0</v>
      </c>
      <c r="H461" t="s">
        <v>11</v>
      </c>
      <c r="I461" t="s">
        <v>18</v>
      </c>
      <c r="J461" t="s">
        <v>15</v>
      </c>
      <c r="K461">
        <v>3</v>
      </c>
      <c r="L461" t="s">
        <v>48</v>
      </c>
      <c r="M461" t="s">
        <v>21</v>
      </c>
      <c r="N461" s="2">
        <v>33</v>
      </c>
      <c r="O461" t="str" cm="1">
        <f t="array" ref="O461">_xlfn.IFS(
  AND(BikePurchase[[#This Row],[Age]]&gt;=18, BikePurchase[[#This Row],[Age]]&lt;=30), "Adolescent",
  AND(BikePurchase[[#This Row],[Age]]&gt;30, BikePurchase[[#This Row],[Age]]&lt;55), "Middle Aged",
  AND(BikePurchase[[#This Row],[Age]]&gt;=55, BikePurchase[[#This Row],[Age]]&lt;90), "Old",
  TRUE, "Invalid"
)</f>
        <v>Middle Aged</v>
      </c>
      <c r="P461" t="s">
        <v>15</v>
      </c>
      <c r="Q461" t="str">
        <f>IF(BikePurchase[[#This Row],[Purchased BikeX]]="No","Not Purchased","Purchased")</f>
        <v>Not Purchased</v>
      </c>
    </row>
    <row r="462" spans="1:17" x14ac:dyDescent="0.3">
      <c r="A462">
        <v>13662</v>
      </c>
      <c r="B462" t="s">
        <v>31</v>
      </c>
      <c r="C462" t="str">
        <f t="shared" si="14"/>
        <v>Single</v>
      </c>
      <c r="D462" t="s">
        <v>30</v>
      </c>
      <c r="E462" t="str">
        <f t="shared" si="15"/>
        <v>Male</v>
      </c>
      <c r="F462" s="2">
        <v>20000</v>
      </c>
      <c r="G462">
        <v>0</v>
      </c>
      <c r="H462" t="s">
        <v>26</v>
      </c>
      <c r="I462" t="s">
        <v>22</v>
      </c>
      <c r="J462" t="s">
        <v>13</v>
      </c>
      <c r="K462">
        <v>2</v>
      </c>
      <c r="L462" t="s">
        <v>23</v>
      </c>
      <c r="M462" t="s">
        <v>14</v>
      </c>
      <c r="N462" s="2">
        <v>31</v>
      </c>
      <c r="O462" t="str" cm="1">
        <f t="array" ref="O462">_xlfn.IFS(
  AND(BikePurchase[[#This Row],[Age]]&gt;=18, BikePurchase[[#This Row],[Age]]&lt;=30), "Adolescent",
  AND(BikePurchase[[#This Row],[Age]]&gt;30, BikePurchase[[#This Row],[Age]]&lt;55), "Middle Aged",
  AND(BikePurchase[[#This Row],[Age]]&gt;=55, BikePurchase[[#This Row],[Age]]&lt;90), "Old",
  TRUE, "Invalid"
)</f>
        <v>Middle Aged</v>
      </c>
      <c r="P462" t="s">
        <v>13</v>
      </c>
      <c r="Q462" t="str">
        <f>IF(BikePurchase[[#This Row],[Purchased BikeX]]="No","Not Purchased","Purchased")</f>
        <v>Purchased</v>
      </c>
    </row>
    <row r="463" spans="1:17" x14ac:dyDescent="0.3">
      <c r="A463">
        <v>13089</v>
      </c>
      <c r="B463" t="s">
        <v>30</v>
      </c>
      <c r="C463" t="str">
        <f t="shared" si="14"/>
        <v>Married</v>
      </c>
      <c r="D463" t="s">
        <v>29</v>
      </c>
      <c r="E463" t="str">
        <f t="shared" si="15"/>
        <v>Female</v>
      </c>
      <c r="F463" s="2">
        <v>120000</v>
      </c>
      <c r="G463">
        <v>1</v>
      </c>
      <c r="H463" t="s">
        <v>11</v>
      </c>
      <c r="I463" t="s">
        <v>25</v>
      </c>
      <c r="J463" t="s">
        <v>13</v>
      </c>
      <c r="K463">
        <v>2</v>
      </c>
      <c r="L463" t="s">
        <v>35</v>
      </c>
      <c r="M463" t="s">
        <v>21</v>
      </c>
      <c r="N463" s="2">
        <v>46</v>
      </c>
      <c r="O463" t="str" cm="1">
        <f t="array" ref="O463">_xlfn.IFS(
  AND(BikePurchase[[#This Row],[Age]]&gt;=18, BikePurchase[[#This Row],[Age]]&lt;=30), "Adolescent",
  AND(BikePurchase[[#This Row],[Age]]&gt;30, BikePurchase[[#This Row],[Age]]&lt;55), "Middle Aged",
  AND(BikePurchase[[#This Row],[Age]]&gt;=55, BikePurchase[[#This Row],[Age]]&lt;90), "Old",
  TRUE, "Invalid"
)</f>
        <v>Middle Aged</v>
      </c>
      <c r="P463" t="s">
        <v>13</v>
      </c>
      <c r="Q463" t="str">
        <f>IF(BikePurchase[[#This Row],[Purchased BikeX]]="No","Not Purchased","Purchased")</f>
        <v>Purchased</v>
      </c>
    </row>
    <row r="464" spans="1:17" x14ac:dyDescent="0.3">
      <c r="A464">
        <v>14791</v>
      </c>
      <c r="B464" t="s">
        <v>30</v>
      </c>
      <c r="C464" t="str">
        <f t="shared" si="14"/>
        <v>Married</v>
      </c>
      <c r="D464" t="s">
        <v>29</v>
      </c>
      <c r="E464" t="str">
        <f t="shared" si="15"/>
        <v>Female</v>
      </c>
      <c r="F464" s="2">
        <v>40000</v>
      </c>
      <c r="G464">
        <v>0</v>
      </c>
      <c r="H464" t="s">
        <v>11</v>
      </c>
      <c r="I464" t="s">
        <v>17</v>
      </c>
      <c r="J464" t="s">
        <v>13</v>
      </c>
      <c r="K464">
        <v>0</v>
      </c>
      <c r="L464" t="s">
        <v>35</v>
      </c>
      <c r="M464" t="s">
        <v>14</v>
      </c>
      <c r="N464" s="2">
        <v>39</v>
      </c>
      <c r="O464" t="str" cm="1">
        <f t="array" ref="O464">_xlfn.IFS(
  AND(BikePurchase[[#This Row],[Age]]&gt;=18, BikePurchase[[#This Row],[Age]]&lt;=30), "Adolescent",
  AND(BikePurchase[[#This Row],[Age]]&gt;30, BikePurchase[[#This Row],[Age]]&lt;55), "Middle Aged",
  AND(BikePurchase[[#This Row],[Age]]&gt;=55, BikePurchase[[#This Row],[Age]]&lt;90), "Old",
  TRUE, "Invalid"
)</f>
        <v>Middle Aged</v>
      </c>
      <c r="P464" t="s">
        <v>13</v>
      </c>
      <c r="Q464" t="str">
        <f>IF(BikePurchase[[#This Row],[Purchased BikeX]]="No","Not Purchased","Purchased")</f>
        <v>Purchased</v>
      </c>
    </row>
    <row r="465" spans="1:17" x14ac:dyDescent="0.3">
      <c r="A465">
        <v>19331</v>
      </c>
      <c r="B465" t="s">
        <v>31</v>
      </c>
      <c r="C465" t="str">
        <f t="shared" si="14"/>
        <v>Single</v>
      </c>
      <c r="D465" t="s">
        <v>30</v>
      </c>
      <c r="E465" t="str">
        <f t="shared" si="15"/>
        <v>Male</v>
      </c>
      <c r="F465" s="2">
        <v>20000</v>
      </c>
      <c r="G465">
        <v>2</v>
      </c>
      <c r="H465" t="s">
        <v>24</v>
      </c>
      <c r="I465" t="s">
        <v>22</v>
      </c>
      <c r="J465" t="s">
        <v>13</v>
      </c>
      <c r="K465">
        <v>1</v>
      </c>
      <c r="L465" t="s">
        <v>35</v>
      </c>
      <c r="M465" t="s">
        <v>14</v>
      </c>
      <c r="N465" s="2">
        <v>40</v>
      </c>
      <c r="O465" t="str" cm="1">
        <f t="array" ref="O465">_xlfn.IFS(
  AND(BikePurchase[[#This Row],[Age]]&gt;=18, BikePurchase[[#This Row],[Age]]&lt;=30), "Adolescent",
  AND(BikePurchase[[#This Row],[Age]]&gt;30, BikePurchase[[#This Row],[Age]]&lt;55), "Middle Aged",
  AND(BikePurchase[[#This Row],[Age]]&gt;=55, BikePurchase[[#This Row],[Age]]&lt;90), "Old",
  TRUE, "Invalid"
)</f>
        <v>Middle Aged</v>
      </c>
      <c r="P465" t="s">
        <v>15</v>
      </c>
      <c r="Q465" t="str">
        <f>IF(BikePurchase[[#This Row],[Purchased BikeX]]="No","Not Purchased","Purchased")</f>
        <v>Not Purchased</v>
      </c>
    </row>
    <row r="466" spans="1:17" x14ac:dyDescent="0.3">
      <c r="A466">
        <v>17754</v>
      </c>
      <c r="B466" t="s">
        <v>31</v>
      </c>
      <c r="C466" t="str">
        <f t="shared" si="14"/>
        <v>Single</v>
      </c>
      <c r="D466" t="s">
        <v>29</v>
      </c>
      <c r="E466" t="str">
        <f t="shared" si="15"/>
        <v>Female</v>
      </c>
      <c r="F466" s="2">
        <v>30000</v>
      </c>
      <c r="G466">
        <v>3</v>
      </c>
      <c r="H466" t="s">
        <v>11</v>
      </c>
      <c r="I466" t="s">
        <v>17</v>
      </c>
      <c r="J466" t="s">
        <v>13</v>
      </c>
      <c r="K466">
        <v>0</v>
      </c>
      <c r="L466" t="s">
        <v>35</v>
      </c>
      <c r="M466" t="s">
        <v>14</v>
      </c>
      <c r="N466" s="2">
        <v>46</v>
      </c>
      <c r="O466" t="str" cm="1">
        <f t="array" ref="O466">_xlfn.IFS(
  AND(BikePurchase[[#This Row],[Age]]&gt;=18, BikePurchase[[#This Row],[Age]]&lt;=30), "Adolescent",
  AND(BikePurchase[[#This Row],[Age]]&gt;30, BikePurchase[[#This Row],[Age]]&lt;55), "Middle Aged",
  AND(BikePurchase[[#This Row],[Age]]&gt;=55, BikePurchase[[#This Row],[Age]]&lt;90), "Old",
  TRUE, "Invalid"
)</f>
        <v>Middle Aged</v>
      </c>
      <c r="P466" t="s">
        <v>13</v>
      </c>
      <c r="Q466" t="str">
        <f>IF(BikePurchase[[#This Row],[Purchased BikeX]]="No","Not Purchased","Purchased")</f>
        <v>Purchased</v>
      </c>
    </row>
    <row r="467" spans="1:17" x14ac:dyDescent="0.3">
      <c r="A467">
        <v>11149</v>
      </c>
      <c r="B467" t="s">
        <v>30</v>
      </c>
      <c r="C467" t="str">
        <f t="shared" si="14"/>
        <v>Married</v>
      </c>
      <c r="D467" t="s">
        <v>30</v>
      </c>
      <c r="E467" t="str">
        <f t="shared" si="15"/>
        <v>Male</v>
      </c>
      <c r="F467" s="2">
        <v>40000</v>
      </c>
      <c r="G467">
        <v>2</v>
      </c>
      <c r="H467" t="s">
        <v>11</v>
      </c>
      <c r="I467" t="s">
        <v>25</v>
      </c>
      <c r="J467" t="s">
        <v>13</v>
      </c>
      <c r="K467">
        <v>2</v>
      </c>
      <c r="L467" t="s">
        <v>35</v>
      </c>
      <c r="M467" t="s">
        <v>21</v>
      </c>
      <c r="N467" s="2">
        <v>65</v>
      </c>
      <c r="O467" t="str" cm="1">
        <f t="array" ref="O467">_xlfn.IFS(
  AND(BikePurchase[[#This Row],[Age]]&gt;=18, BikePurchase[[#This Row],[Age]]&lt;=30), "Adolescent",
  AND(BikePurchase[[#This Row],[Age]]&gt;30, BikePurchase[[#This Row],[Age]]&lt;55), "Middle Aged",
  AND(BikePurchase[[#This Row],[Age]]&gt;=55, BikePurchase[[#This Row],[Age]]&lt;90), "Old",
  TRUE, "Invalid"
)</f>
        <v>Old</v>
      </c>
      <c r="P467" t="s">
        <v>15</v>
      </c>
      <c r="Q467" t="str">
        <f>IF(BikePurchase[[#This Row],[Purchased BikeX]]="No","Not Purchased","Purchased")</f>
        <v>Not Purchased</v>
      </c>
    </row>
    <row r="468" spans="1:17" x14ac:dyDescent="0.3">
      <c r="A468">
        <v>16549</v>
      </c>
      <c r="B468" t="s">
        <v>31</v>
      </c>
      <c r="C468" t="str">
        <f t="shared" si="14"/>
        <v>Single</v>
      </c>
      <c r="D468" t="s">
        <v>29</v>
      </c>
      <c r="E468" t="str">
        <f t="shared" si="15"/>
        <v>Female</v>
      </c>
      <c r="F468" s="2">
        <v>30000</v>
      </c>
      <c r="G468">
        <v>3</v>
      </c>
      <c r="H468" t="s">
        <v>11</v>
      </c>
      <c r="I468" t="s">
        <v>17</v>
      </c>
      <c r="J468" t="s">
        <v>13</v>
      </c>
      <c r="K468">
        <v>0</v>
      </c>
      <c r="L468" t="s">
        <v>35</v>
      </c>
      <c r="M468" t="s">
        <v>14</v>
      </c>
      <c r="N468" s="2">
        <v>47</v>
      </c>
      <c r="O468" t="str" cm="1">
        <f t="array" ref="O468">_xlfn.IFS(
  AND(BikePurchase[[#This Row],[Age]]&gt;=18, BikePurchase[[#This Row],[Age]]&lt;=30), "Adolescent",
  AND(BikePurchase[[#This Row],[Age]]&gt;30, BikePurchase[[#This Row],[Age]]&lt;55), "Middle Aged",
  AND(BikePurchase[[#This Row],[Age]]&gt;=55, BikePurchase[[#This Row],[Age]]&lt;90), "Old",
  TRUE, "Invalid"
)</f>
        <v>Middle Aged</v>
      </c>
      <c r="P468" t="s">
        <v>13</v>
      </c>
      <c r="Q468" t="str">
        <f>IF(BikePurchase[[#This Row],[Purchased BikeX]]="No","Not Purchased","Purchased")</f>
        <v>Purchased</v>
      </c>
    </row>
    <row r="469" spans="1:17" x14ac:dyDescent="0.3">
      <c r="A469">
        <v>24305</v>
      </c>
      <c r="B469" t="s">
        <v>31</v>
      </c>
      <c r="C469" t="str">
        <f t="shared" si="14"/>
        <v>Single</v>
      </c>
      <c r="D469" t="s">
        <v>30</v>
      </c>
      <c r="E469" t="str">
        <f t="shared" si="15"/>
        <v>Male</v>
      </c>
      <c r="F469" s="2">
        <v>100000</v>
      </c>
      <c r="G469">
        <v>1</v>
      </c>
      <c r="H469" t="s">
        <v>11</v>
      </c>
      <c r="I469" t="s">
        <v>25</v>
      </c>
      <c r="J469" t="s">
        <v>15</v>
      </c>
      <c r="K469">
        <v>3</v>
      </c>
      <c r="L469" t="s">
        <v>35</v>
      </c>
      <c r="M469" t="s">
        <v>21</v>
      </c>
      <c r="N469" s="2">
        <v>46</v>
      </c>
      <c r="O469" t="str" cm="1">
        <f t="array" ref="O469">_xlfn.IFS(
  AND(BikePurchase[[#This Row],[Age]]&gt;=18, BikePurchase[[#This Row],[Age]]&lt;=30), "Adolescent",
  AND(BikePurchase[[#This Row],[Age]]&gt;30, BikePurchase[[#This Row],[Age]]&lt;55), "Middle Aged",
  AND(BikePurchase[[#This Row],[Age]]&gt;=55, BikePurchase[[#This Row],[Age]]&lt;90), "Old",
  TRUE, "Invalid"
)</f>
        <v>Middle Aged</v>
      </c>
      <c r="P469" t="s">
        <v>13</v>
      </c>
      <c r="Q469" t="str">
        <f>IF(BikePurchase[[#This Row],[Purchased BikeX]]="No","Not Purchased","Purchased")</f>
        <v>Purchased</v>
      </c>
    </row>
    <row r="470" spans="1:17" x14ac:dyDescent="0.3">
      <c r="A470">
        <v>18253</v>
      </c>
      <c r="B470" t="s">
        <v>30</v>
      </c>
      <c r="C470" t="str">
        <f t="shared" si="14"/>
        <v>Married</v>
      </c>
      <c r="D470" t="s">
        <v>29</v>
      </c>
      <c r="E470" t="str">
        <f t="shared" si="15"/>
        <v>Female</v>
      </c>
      <c r="F470" s="2">
        <v>80000</v>
      </c>
      <c r="G470">
        <v>5</v>
      </c>
      <c r="H470" t="s">
        <v>27</v>
      </c>
      <c r="I470" t="s">
        <v>25</v>
      </c>
      <c r="J470" t="s">
        <v>13</v>
      </c>
      <c r="K470">
        <v>3</v>
      </c>
      <c r="L470" t="s">
        <v>35</v>
      </c>
      <c r="M470" t="s">
        <v>21</v>
      </c>
      <c r="N470" s="2">
        <v>40</v>
      </c>
      <c r="O470" t="str" cm="1">
        <f t="array" ref="O470">_xlfn.IFS(
  AND(BikePurchase[[#This Row],[Age]]&gt;=18, BikePurchase[[#This Row],[Age]]&lt;=30), "Adolescent",
  AND(BikePurchase[[#This Row],[Age]]&gt;30, BikePurchase[[#This Row],[Age]]&lt;55), "Middle Aged",
  AND(BikePurchase[[#This Row],[Age]]&gt;=55, BikePurchase[[#This Row],[Age]]&lt;90), "Old",
  TRUE, "Invalid"
)</f>
        <v>Middle Aged</v>
      </c>
      <c r="P470" t="s">
        <v>15</v>
      </c>
      <c r="Q470" t="str">
        <f>IF(BikePurchase[[#This Row],[Purchased BikeX]]="No","Not Purchased","Purchased")</f>
        <v>Not Purchased</v>
      </c>
    </row>
    <row r="471" spans="1:17" x14ac:dyDescent="0.3">
      <c r="A471">
        <v>20147</v>
      </c>
      <c r="B471" t="s">
        <v>30</v>
      </c>
      <c r="C471" t="str">
        <f t="shared" si="14"/>
        <v>Married</v>
      </c>
      <c r="D471" t="s">
        <v>29</v>
      </c>
      <c r="E471" t="str">
        <f t="shared" si="15"/>
        <v>Female</v>
      </c>
      <c r="F471" s="2">
        <v>30000</v>
      </c>
      <c r="G471">
        <v>1</v>
      </c>
      <c r="H471" t="s">
        <v>11</v>
      </c>
      <c r="I471" t="s">
        <v>17</v>
      </c>
      <c r="J471" t="s">
        <v>13</v>
      </c>
      <c r="K471">
        <v>0</v>
      </c>
      <c r="L471" t="s">
        <v>35</v>
      </c>
      <c r="M471" t="s">
        <v>14</v>
      </c>
      <c r="N471" s="2">
        <v>65</v>
      </c>
      <c r="O471" t="str" cm="1">
        <f t="array" ref="O471">_xlfn.IFS(
  AND(BikePurchase[[#This Row],[Age]]&gt;=18, BikePurchase[[#This Row],[Age]]&lt;=30), "Adolescent",
  AND(BikePurchase[[#This Row],[Age]]&gt;30, BikePurchase[[#This Row],[Age]]&lt;55), "Middle Aged",
  AND(BikePurchase[[#This Row],[Age]]&gt;=55, BikePurchase[[#This Row],[Age]]&lt;90), "Old",
  TRUE, "Invalid"
)</f>
        <v>Old</v>
      </c>
      <c r="P471" t="s">
        <v>15</v>
      </c>
      <c r="Q471" t="str">
        <f>IF(BikePurchase[[#This Row],[Purchased BikeX]]="No","Not Purchased","Purchased")</f>
        <v>Not Purchased</v>
      </c>
    </row>
    <row r="472" spans="1:17" x14ac:dyDescent="0.3">
      <c r="A472">
        <v>15612</v>
      </c>
      <c r="B472" t="s">
        <v>31</v>
      </c>
      <c r="C472" t="str">
        <f t="shared" si="14"/>
        <v>Single</v>
      </c>
      <c r="D472" t="s">
        <v>30</v>
      </c>
      <c r="E472" t="str">
        <f t="shared" si="15"/>
        <v>Male</v>
      </c>
      <c r="F472" s="2">
        <v>30000</v>
      </c>
      <c r="G472">
        <v>0</v>
      </c>
      <c r="H472" t="s">
        <v>24</v>
      </c>
      <c r="I472" t="s">
        <v>22</v>
      </c>
      <c r="J472" t="s">
        <v>15</v>
      </c>
      <c r="K472">
        <v>1</v>
      </c>
      <c r="L472" t="s">
        <v>23</v>
      </c>
      <c r="M472" t="s">
        <v>14</v>
      </c>
      <c r="N472" s="2">
        <v>28</v>
      </c>
      <c r="O472" t="str" cm="1">
        <f t="array" ref="O472">_xlfn.IFS(
  AND(BikePurchase[[#This Row],[Age]]&gt;=18, BikePurchase[[#This Row],[Age]]&lt;=30), "Adolescent",
  AND(BikePurchase[[#This Row],[Age]]&gt;30, BikePurchase[[#This Row],[Age]]&lt;55), "Middle Aged",
  AND(BikePurchase[[#This Row],[Age]]&gt;=55, BikePurchase[[#This Row],[Age]]&lt;90), "Old",
  TRUE, "Invalid"
)</f>
        <v>Adolescent</v>
      </c>
      <c r="P472" t="s">
        <v>15</v>
      </c>
      <c r="Q472" t="str">
        <f>IF(BikePurchase[[#This Row],[Purchased BikeX]]="No","Not Purchased","Purchased")</f>
        <v>Not Purchased</v>
      </c>
    </row>
    <row r="473" spans="1:17" x14ac:dyDescent="0.3">
      <c r="A473">
        <v>28323</v>
      </c>
      <c r="B473" t="s">
        <v>31</v>
      </c>
      <c r="C473" t="str">
        <f t="shared" si="14"/>
        <v>Single</v>
      </c>
      <c r="D473" t="s">
        <v>30</v>
      </c>
      <c r="E473" t="str">
        <f t="shared" si="15"/>
        <v>Male</v>
      </c>
      <c r="F473" s="2">
        <v>70000</v>
      </c>
      <c r="G473">
        <v>0</v>
      </c>
      <c r="H473" t="s">
        <v>11</v>
      </c>
      <c r="I473" t="s">
        <v>18</v>
      </c>
      <c r="J473" t="s">
        <v>15</v>
      </c>
      <c r="K473">
        <v>2</v>
      </c>
      <c r="L473" t="s">
        <v>20</v>
      </c>
      <c r="M473" t="s">
        <v>21</v>
      </c>
      <c r="N473" s="2">
        <v>43</v>
      </c>
      <c r="O473" t="str" cm="1">
        <f t="array" ref="O473">_xlfn.IFS(
  AND(BikePurchase[[#This Row],[Age]]&gt;=18, BikePurchase[[#This Row],[Age]]&lt;=30), "Adolescent",
  AND(BikePurchase[[#This Row],[Age]]&gt;30, BikePurchase[[#This Row],[Age]]&lt;55), "Middle Aged",
  AND(BikePurchase[[#This Row],[Age]]&gt;=55, BikePurchase[[#This Row],[Age]]&lt;90), "Old",
  TRUE, "Invalid"
)</f>
        <v>Middle Aged</v>
      </c>
      <c r="P473" t="s">
        <v>13</v>
      </c>
      <c r="Q473" t="str">
        <f>IF(BikePurchase[[#This Row],[Purchased BikeX]]="No","Not Purchased","Purchased")</f>
        <v>Purchased</v>
      </c>
    </row>
    <row r="474" spans="1:17" x14ac:dyDescent="0.3">
      <c r="A474">
        <v>22634</v>
      </c>
      <c r="B474" t="s">
        <v>31</v>
      </c>
      <c r="C474" t="str">
        <f t="shared" si="14"/>
        <v>Single</v>
      </c>
      <c r="D474" t="s">
        <v>29</v>
      </c>
      <c r="E474" t="str">
        <f t="shared" si="15"/>
        <v>Female</v>
      </c>
      <c r="F474" s="2">
        <v>40000</v>
      </c>
      <c r="G474">
        <v>0</v>
      </c>
      <c r="H474" t="s">
        <v>27</v>
      </c>
      <c r="I474" t="s">
        <v>17</v>
      </c>
      <c r="J474" t="s">
        <v>13</v>
      </c>
      <c r="K474">
        <v>0</v>
      </c>
      <c r="L474" t="s">
        <v>35</v>
      </c>
      <c r="M474" t="s">
        <v>14</v>
      </c>
      <c r="N474" s="2">
        <v>38</v>
      </c>
      <c r="O474" t="str" cm="1">
        <f t="array" ref="O474">_xlfn.IFS(
  AND(BikePurchase[[#This Row],[Age]]&gt;=18, BikePurchase[[#This Row],[Age]]&lt;=30), "Adolescent",
  AND(BikePurchase[[#This Row],[Age]]&gt;30, BikePurchase[[#This Row],[Age]]&lt;55), "Middle Aged",
  AND(BikePurchase[[#This Row],[Age]]&gt;=55, BikePurchase[[#This Row],[Age]]&lt;90), "Old",
  TRUE, "Invalid"
)</f>
        <v>Middle Aged</v>
      </c>
      <c r="P474" t="s">
        <v>13</v>
      </c>
      <c r="Q474" t="str">
        <f>IF(BikePurchase[[#This Row],[Purchased BikeX]]="No","Not Purchased","Purchased")</f>
        <v>Purchased</v>
      </c>
    </row>
    <row r="475" spans="1:17" x14ac:dyDescent="0.3">
      <c r="A475">
        <v>15665</v>
      </c>
      <c r="B475" t="s">
        <v>30</v>
      </c>
      <c r="C475" t="str">
        <f t="shared" si="14"/>
        <v>Married</v>
      </c>
      <c r="D475" t="s">
        <v>29</v>
      </c>
      <c r="E475" t="str">
        <f t="shared" si="15"/>
        <v>Female</v>
      </c>
      <c r="F475" s="2">
        <v>30000</v>
      </c>
      <c r="G475">
        <v>0</v>
      </c>
      <c r="H475" t="s">
        <v>11</v>
      </c>
      <c r="I475" t="s">
        <v>17</v>
      </c>
      <c r="J475" t="s">
        <v>13</v>
      </c>
      <c r="K475">
        <v>0</v>
      </c>
      <c r="L475" t="s">
        <v>35</v>
      </c>
      <c r="M475" t="s">
        <v>14</v>
      </c>
      <c r="N475" s="2">
        <v>47</v>
      </c>
      <c r="O475" t="str" cm="1">
        <f t="array" ref="O475">_xlfn.IFS(
  AND(BikePurchase[[#This Row],[Age]]&gt;=18, BikePurchase[[#This Row],[Age]]&lt;=30), "Adolescent",
  AND(BikePurchase[[#This Row],[Age]]&gt;30, BikePurchase[[#This Row],[Age]]&lt;55), "Middle Aged",
  AND(BikePurchase[[#This Row],[Age]]&gt;=55, BikePurchase[[#This Row],[Age]]&lt;90), "Old",
  TRUE, "Invalid"
)</f>
        <v>Middle Aged</v>
      </c>
      <c r="P475" t="s">
        <v>13</v>
      </c>
      <c r="Q475" t="str">
        <f>IF(BikePurchase[[#This Row],[Purchased BikeX]]="No","Not Purchased","Purchased")</f>
        <v>Purchased</v>
      </c>
    </row>
    <row r="476" spans="1:17" x14ac:dyDescent="0.3">
      <c r="A476">
        <v>27585</v>
      </c>
      <c r="B476" t="s">
        <v>30</v>
      </c>
      <c r="C476" t="str">
        <f t="shared" si="14"/>
        <v>Married</v>
      </c>
      <c r="D476" t="s">
        <v>29</v>
      </c>
      <c r="E476" t="str">
        <f t="shared" si="15"/>
        <v>Female</v>
      </c>
      <c r="F476" s="2">
        <v>90000</v>
      </c>
      <c r="G476">
        <v>2</v>
      </c>
      <c r="H476" t="s">
        <v>11</v>
      </c>
      <c r="I476" t="s">
        <v>18</v>
      </c>
      <c r="J476" t="s">
        <v>15</v>
      </c>
      <c r="K476">
        <v>0</v>
      </c>
      <c r="L476" t="s">
        <v>35</v>
      </c>
      <c r="M476" t="s">
        <v>21</v>
      </c>
      <c r="N476" s="2">
        <v>36</v>
      </c>
      <c r="O476" t="str" cm="1">
        <f t="array" ref="O476">_xlfn.IFS(
  AND(BikePurchase[[#This Row],[Age]]&gt;=18, BikePurchase[[#This Row],[Age]]&lt;=30), "Adolescent",
  AND(BikePurchase[[#This Row],[Age]]&gt;30, BikePurchase[[#This Row],[Age]]&lt;55), "Middle Aged",
  AND(BikePurchase[[#This Row],[Age]]&gt;=55, BikePurchase[[#This Row],[Age]]&lt;90), "Old",
  TRUE, "Invalid"
)</f>
        <v>Middle Aged</v>
      </c>
      <c r="P476" t="s">
        <v>13</v>
      </c>
      <c r="Q476" t="str">
        <f>IF(BikePurchase[[#This Row],[Purchased BikeX]]="No","Not Purchased","Purchased")</f>
        <v>Purchased</v>
      </c>
    </row>
    <row r="477" spans="1:17" x14ac:dyDescent="0.3">
      <c r="A477">
        <v>19748</v>
      </c>
      <c r="B477" t="s">
        <v>30</v>
      </c>
      <c r="C477" t="str">
        <f t="shared" si="14"/>
        <v>Married</v>
      </c>
      <c r="D477" t="s">
        <v>30</v>
      </c>
      <c r="E477" t="str">
        <f t="shared" si="15"/>
        <v>Male</v>
      </c>
      <c r="F477" s="2">
        <v>20000</v>
      </c>
      <c r="G477">
        <v>4</v>
      </c>
      <c r="H477" t="s">
        <v>24</v>
      </c>
      <c r="I477" t="s">
        <v>12</v>
      </c>
      <c r="J477" t="s">
        <v>15</v>
      </c>
      <c r="K477">
        <v>2</v>
      </c>
      <c r="L477" t="s">
        <v>23</v>
      </c>
      <c r="M477" t="s">
        <v>21</v>
      </c>
      <c r="N477" s="2">
        <v>60</v>
      </c>
      <c r="O477" t="str" cm="1">
        <f t="array" ref="O477">_xlfn.IFS(
  AND(BikePurchase[[#This Row],[Age]]&gt;=18, BikePurchase[[#This Row],[Age]]&lt;=30), "Adolescent",
  AND(BikePurchase[[#This Row],[Age]]&gt;30, BikePurchase[[#This Row],[Age]]&lt;55), "Middle Aged",
  AND(BikePurchase[[#This Row],[Age]]&gt;=55, BikePurchase[[#This Row],[Age]]&lt;90), "Old",
  TRUE, "Invalid"
)</f>
        <v>Old</v>
      </c>
      <c r="P477" t="s">
        <v>15</v>
      </c>
      <c r="Q477" t="str">
        <f>IF(BikePurchase[[#This Row],[Purchased BikeX]]="No","Not Purchased","Purchased")</f>
        <v>Not Purchased</v>
      </c>
    </row>
    <row r="478" spans="1:17" x14ac:dyDescent="0.3">
      <c r="A478">
        <v>21974</v>
      </c>
      <c r="B478" t="s">
        <v>31</v>
      </c>
      <c r="C478" t="str">
        <f t="shared" si="14"/>
        <v>Single</v>
      </c>
      <c r="D478" t="s">
        <v>29</v>
      </c>
      <c r="E478" t="str">
        <f t="shared" si="15"/>
        <v>Female</v>
      </c>
      <c r="F478" s="2">
        <v>70000</v>
      </c>
      <c r="G478">
        <v>0</v>
      </c>
      <c r="H478" t="s">
        <v>11</v>
      </c>
      <c r="I478" t="s">
        <v>18</v>
      </c>
      <c r="J478" t="s">
        <v>13</v>
      </c>
      <c r="K478">
        <v>1</v>
      </c>
      <c r="L478" t="s">
        <v>20</v>
      </c>
      <c r="M478" t="s">
        <v>21</v>
      </c>
      <c r="N478" s="2">
        <v>42</v>
      </c>
      <c r="O478" t="str" cm="1">
        <f t="array" ref="O478">_xlfn.IFS(
  AND(BikePurchase[[#This Row],[Age]]&gt;=18, BikePurchase[[#This Row],[Age]]&lt;=30), "Adolescent",
  AND(BikePurchase[[#This Row],[Age]]&gt;30, BikePurchase[[#This Row],[Age]]&lt;55), "Middle Aged",
  AND(BikePurchase[[#This Row],[Age]]&gt;=55, BikePurchase[[#This Row],[Age]]&lt;90), "Old",
  TRUE, "Invalid"
)</f>
        <v>Middle Aged</v>
      </c>
      <c r="P478" t="s">
        <v>13</v>
      </c>
      <c r="Q478" t="str">
        <f>IF(BikePurchase[[#This Row],[Purchased BikeX]]="No","Not Purchased","Purchased")</f>
        <v>Purchased</v>
      </c>
    </row>
    <row r="479" spans="1:17" x14ac:dyDescent="0.3">
      <c r="A479">
        <v>14032</v>
      </c>
      <c r="B479" t="s">
        <v>30</v>
      </c>
      <c r="C479" t="str">
        <f t="shared" si="14"/>
        <v>Married</v>
      </c>
      <c r="D479" t="s">
        <v>30</v>
      </c>
      <c r="E479" t="str">
        <f t="shared" si="15"/>
        <v>Male</v>
      </c>
      <c r="F479" s="2">
        <v>70000</v>
      </c>
      <c r="G479">
        <v>2</v>
      </c>
      <c r="H479" t="s">
        <v>24</v>
      </c>
      <c r="I479" t="s">
        <v>12</v>
      </c>
      <c r="J479" t="s">
        <v>15</v>
      </c>
      <c r="K479">
        <v>2</v>
      </c>
      <c r="L479" t="s">
        <v>23</v>
      </c>
      <c r="M479" t="s">
        <v>21</v>
      </c>
      <c r="N479" s="2">
        <v>50</v>
      </c>
      <c r="O479" t="str" cm="1">
        <f t="array" ref="O479">_xlfn.IFS(
  AND(BikePurchase[[#This Row],[Age]]&gt;=18, BikePurchase[[#This Row],[Age]]&lt;=30), "Adolescent",
  AND(BikePurchase[[#This Row],[Age]]&gt;30, BikePurchase[[#This Row],[Age]]&lt;55), "Middle Aged",
  AND(BikePurchase[[#This Row],[Age]]&gt;=55, BikePurchase[[#This Row],[Age]]&lt;90), "Old",
  TRUE, "Invalid"
)</f>
        <v>Middle Aged</v>
      </c>
      <c r="P479" t="s">
        <v>13</v>
      </c>
      <c r="Q479" t="str">
        <f>IF(BikePurchase[[#This Row],[Purchased BikeX]]="No","Not Purchased","Purchased")</f>
        <v>Purchased</v>
      </c>
    </row>
    <row r="480" spans="1:17" x14ac:dyDescent="0.3">
      <c r="A480">
        <v>22610</v>
      </c>
      <c r="B480" t="s">
        <v>30</v>
      </c>
      <c r="C480" t="str">
        <f t="shared" si="14"/>
        <v>Married</v>
      </c>
      <c r="D480" t="s">
        <v>30</v>
      </c>
      <c r="E480" t="str">
        <f t="shared" si="15"/>
        <v>Male</v>
      </c>
      <c r="F480" s="2">
        <v>30000</v>
      </c>
      <c r="G480">
        <v>0</v>
      </c>
      <c r="H480" t="s">
        <v>11</v>
      </c>
      <c r="I480" t="s">
        <v>17</v>
      </c>
      <c r="J480" t="s">
        <v>13</v>
      </c>
      <c r="K480">
        <v>0</v>
      </c>
      <c r="L480" t="s">
        <v>35</v>
      </c>
      <c r="M480" t="s">
        <v>14</v>
      </c>
      <c r="N480" s="2">
        <v>35</v>
      </c>
      <c r="O480" t="str" cm="1">
        <f t="array" ref="O480">_xlfn.IFS(
  AND(BikePurchase[[#This Row],[Age]]&gt;=18, BikePurchase[[#This Row],[Age]]&lt;=30), "Adolescent",
  AND(BikePurchase[[#This Row],[Age]]&gt;30, BikePurchase[[#This Row],[Age]]&lt;55), "Middle Aged",
  AND(BikePurchase[[#This Row],[Age]]&gt;=55, BikePurchase[[#This Row],[Age]]&lt;90), "Old",
  TRUE, "Invalid"
)</f>
        <v>Middle Aged</v>
      </c>
      <c r="P480" t="s">
        <v>13</v>
      </c>
      <c r="Q480" t="str">
        <f>IF(BikePurchase[[#This Row],[Purchased BikeX]]="No","Not Purchased","Purchased")</f>
        <v>Purchased</v>
      </c>
    </row>
    <row r="481" spans="1:17" x14ac:dyDescent="0.3">
      <c r="A481">
        <v>26984</v>
      </c>
      <c r="B481" t="s">
        <v>30</v>
      </c>
      <c r="C481" t="str">
        <f t="shared" si="14"/>
        <v>Married</v>
      </c>
      <c r="D481" t="s">
        <v>30</v>
      </c>
      <c r="E481" t="str">
        <f t="shared" si="15"/>
        <v>Male</v>
      </c>
      <c r="F481" s="2">
        <v>40000</v>
      </c>
      <c r="G481">
        <v>1</v>
      </c>
      <c r="H481" t="s">
        <v>11</v>
      </c>
      <c r="I481" t="s">
        <v>12</v>
      </c>
      <c r="J481" t="s">
        <v>13</v>
      </c>
      <c r="K481">
        <v>1</v>
      </c>
      <c r="L481" t="s">
        <v>35</v>
      </c>
      <c r="M481" t="s">
        <v>14</v>
      </c>
      <c r="N481" s="2">
        <v>32</v>
      </c>
      <c r="O481" t="str" cm="1">
        <f t="array" ref="O481">_xlfn.IFS(
  AND(BikePurchase[[#This Row],[Age]]&gt;=18, BikePurchase[[#This Row],[Age]]&lt;=30), "Adolescent",
  AND(BikePurchase[[#This Row],[Age]]&gt;30, BikePurchase[[#This Row],[Age]]&lt;55), "Middle Aged",
  AND(BikePurchase[[#This Row],[Age]]&gt;=55, BikePurchase[[#This Row],[Age]]&lt;90), "Old",
  TRUE, "Invalid"
)</f>
        <v>Middle Aged</v>
      </c>
      <c r="P481" t="s">
        <v>13</v>
      </c>
      <c r="Q481" t="str">
        <f>IF(BikePurchase[[#This Row],[Purchased BikeX]]="No","Not Purchased","Purchased")</f>
        <v>Purchased</v>
      </c>
    </row>
    <row r="482" spans="1:17" x14ac:dyDescent="0.3">
      <c r="A482">
        <v>18294</v>
      </c>
      <c r="B482" t="s">
        <v>30</v>
      </c>
      <c r="C482" t="str">
        <f t="shared" si="14"/>
        <v>Married</v>
      </c>
      <c r="D482" t="s">
        <v>29</v>
      </c>
      <c r="E482" t="str">
        <f t="shared" si="15"/>
        <v>Female</v>
      </c>
      <c r="F482" s="2">
        <v>90000</v>
      </c>
      <c r="G482">
        <v>1</v>
      </c>
      <c r="H482" t="s">
        <v>11</v>
      </c>
      <c r="I482" t="s">
        <v>18</v>
      </c>
      <c r="J482" t="s">
        <v>13</v>
      </c>
      <c r="K482">
        <v>1</v>
      </c>
      <c r="L482" t="s">
        <v>20</v>
      </c>
      <c r="M482" t="s">
        <v>21</v>
      </c>
      <c r="N482" s="2">
        <v>46</v>
      </c>
      <c r="O482" t="str" cm="1">
        <f t="array" ref="O482">_xlfn.IFS(
  AND(BikePurchase[[#This Row],[Age]]&gt;=18, BikePurchase[[#This Row],[Age]]&lt;=30), "Adolescent",
  AND(BikePurchase[[#This Row],[Age]]&gt;30, BikePurchase[[#This Row],[Age]]&lt;55), "Middle Aged",
  AND(BikePurchase[[#This Row],[Age]]&gt;=55, BikePurchase[[#This Row],[Age]]&lt;90), "Old",
  TRUE, "Invalid"
)</f>
        <v>Middle Aged</v>
      </c>
      <c r="P482" t="s">
        <v>15</v>
      </c>
      <c r="Q482" t="str">
        <f>IF(BikePurchase[[#This Row],[Purchased BikeX]]="No","Not Purchased","Purchased")</f>
        <v>Not Purchased</v>
      </c>
    </row>
    <row r="483" spans="1:17" x14ac:dyDescent="0.3">
      <c r="A483">
        <v>28564</v>
      </c>
      <c r="B483" t="s">
        <v>31</v>
      </c>
      <c r="C483" t="str">
        <f t="shared" si="14"/>
        <v>Single</v>
      </c>
      <c r="D483" t="s">
        <v>29</v>
      </c>
      <c r="E483" t="str">
        <f t="shared" si="15"/>
        <v>Female</v>
      </c>
      <c r="F483" s="2">
        <v>40000</v>
      </c>
      <c r="G483">
        <v>2</v>
      </c>
      <c r="H483" t="s">
        <v>16</v>
      </c>
      <c r="I483" t="s">
        <v>17</v>
      </c>
      <c r="J483" t="s">
        <v>13</v>
      </c>
      <c r="K483">
        <v>0</v>
      </c>
      <c r="L483" t="s">
        <v>23</v>
      </c>
      <c r="M483" t="s">
        <v>14</v>
      </c>
      <c r="N483" s="2">
        <v>33</v>
      </c>
      <c r="O483" t="str" cm="1">
        <f t="array" ref="O483">_xlfn.IFS(
  AND(BikePurchase[[#This Row],[Age]]&gt;=18, BikePurchase[[#This Row],[Age]]&lt;=30), "Adolescent",
  AND(BikePurchase[[#This Row],[Age]]&gt;30, BikePurchase[[#This Row],[Age]]&lt;55), "Middle Aged",
  AND(BikePurchase[[#This Row],[Age]]&gt;=55, BikePurchase[[#This Row],[Age]]&lt;90), "Old",
  TRUE, "Invalid"
)</f>
        <v>Middle Aged</v>
      </c>
      <c r="P483" t="s">
        <v>13</v>
      </c>
      <c r="Q483" t="str">
        <f>IF(BikePurchase[[#This Row],[Purchased BikeX]]="No","Not Purchased","Purchased")</f>
        <v>Purchased</v>
      </c>
    </row>
    <row r="484" spans="1:17" x14ac:dyDescent="0.3">
      <c r="A484">
        <v>28521</v>
      </c>
      <c r="B484" t="s">
        <v>31</v>
      </c>
      <c r="C484" t="str">
        <f t="shared" si="14"/>
        <v>Single</v>
      </c>
      <c r="D484" t="s">
        <v>30</v>
      </c>
      <c r="E484" t="str">
        <f t="shared" si="15"/>
        <v>Male</v>
      </c>
      <c r="F484" s="2">
        <v>40000</v>
      </c>
      <c r="G484">
        <v>0</v>
      </c>
      <c r="H484" t="s">
        <v>27</v>
      </c>
      <c r="I484" t="s">
        <v>17</v>
      </c>
      <c r="J484" t="s">
        <v>15</v>
      </c>
      <c r="K484">
        <v>0</v>
      </c>
      <c r="L484" t="s">
        <v>35</v>
      </c>
      <c r="M484" t="s">
        <v>14</v>
      </c>
      <c r="N484" s="2">
        <v>36</v>
      </c>
      <c r="O484" t="str" cm="1">
        <f t="array" ref="O484">_xlfn.IFS(
  AND(BikePurchase[[#This Row],[Age]]&gt;=18, BikePurchase[[#This Row],[Age]]&lt;=30), "Adolescent",
  AND(BikePurchase[[#This Row],[Age]]&gt;30, BikePurchase[[#This Row],[Age]]&lt;55), "Middle Aged",
  AND(BikePurchase[[#This Row],[Age]]&gt;=55, BikePurchase[[#This Row],[Age]]&lt;90), "Old",
  TRUE, "Invalid"
)</f>
        <v>Middle Aged</v>
      </c>
      <c r="P484" t="s">
        <v>13</v>
      </c>
      <c r="Q484" t="str">
        <f>IF(BikePurchase[[#This Row],[Purchased BikeX]]="No","Not Purchased","Purchased")</f>
        <v>Purchased</v>
      </c>
    </row>
    <row r="485" spans="1:17" x14ac:dyDescent="0.3">
      <c r="A485">
        <v>15450</v>
      </c>
      <c r="B485" t="s">
        <v>30</v>
      </c>
      <c r="C485" t="str">
        <f t="shared" si="14"/>
        <v>Married</v>
      </c>
      <c r="D485" t="s">
        <v>30</v>
      </c>
      <c r="E485" t="str">
        <f t="shared" si="15"/>
        <v>Male</v>
      </c>
      <c r="F485" s="2">
        <v>10000</v>
      </c>
      <c r="G485">
        <v>1</v>
      </c>
      <c r="H485" t="s">
        <v>27</v>
      </c>
      <c r="I485" t="s">
        <v>17</v>
      </c>
      <c r="J485" t="s">
        <v>13</v>
      </c>
      <c r="K485">
        <v>0</v>
      </c>
      <c r="L485" t="s">
        <v>35</v>
      </c>
      <c r="M485" t="s">
        <v>14</v>
      </c>
      <c r="N485" s="2">
        <v>70</v>
      </c>
      <c r="O485" t="str" cm="1">
        <f t="array" ref="O485">_xlfn.IFS(
  AND(BikePurchase[[#This Row],[Age]]&gt;=18, BikePurchase[[#This Row],[Age]]&lt;=30), "Adolescent",
  AND(BikePurchase[[#This Row],[Age]]&gt;30, BikePurchase[[#This Row],[Age]]&lt;55), "Middle Aged",
  AND(BikePurchase[[#This Row],[Age]]&gt;=55, BikePurchase[[#This Row],[Age]]&lt;90), "Old",
  TRUE, "Invalid"
)</f>
        <v>Old</v>
      </c>
      <c r="P485" t="s">
        <v>15</v>
      </c>
      <c r="Q485" t="str">
        <f>IF(BikePurchase[[#This Row],[Purchased BikeX]]="No","Not Purchased","Purchased")</f>
        <v>Not Purchased</v>
      </c>
    </row>
    <row r="486" spans="1:17" x14ac:dyDescent="0.3">
      <c r="A486">
        <v>25681</v>
      </c>
      <c r="B486" t="s">
        <v>31</v>
      </c>
      <c r="C486" t="str">
        <f t="shared" si="14"/>
        <v>Single</v>
      </c>
      <c r="D486" t="s">
        <v>29</v>
      </c>
      <c r="E486" t="str">
        <f t="shared" si="15"/>
        <v>Female</v>
      </c>
      <c r="F486" s="2">
        <v>30000</v>
      </c>
      <c r="G486">
        <v>0</v>
      </c>
      <c r="H486" t="s">
        <v>16</v>
      </c>
      <c r="I486" t="s">
        <v>17</v>
      </c>
      <c r="J486" t="s">
        <v>15</v>
      </c>
      <c r="K486">
        <v>1</v>
      </c>
      <c r="L486" t="s">
        <v>19</v>
      </c>
      <c r="M486" t="s">
        <v>14</v>
      </c>
      <c r="N486" s="2">
        <v>31</v>
      </c>
      <c r="O486" t="str" cm="1">
        <f t="array" ref="O486">_xlfn.IFS(
  AND(BikePurchase[[#This Row],[Age]]&gt;=18, BikePurchase[[#This Row],[Age]]&lt;=30), "Adolescent",
  AND(BikePurchase[[#This Row],[Age]]&gt;30, BikePurchase[[#This Row],[Age]]&lt;55), "Middle Aged",
  AND(BikePurchase[[#This Row],[Age]]&gt;=55, BikePurchase[[#This Row],[Age]]&lt;90), "Old",
  TRUE, "Invalid"
)</f>
        <v>Middle Aged</v>
      </c>
      <c r="P486" t="s">
        <v>13</v>
      </c>
      <c r="Q486" t="str">
        <f>IF(BikePurchase[[#This Row],[Purchased BikeX]]="No","Not Purchased","Purchased")</f>
        <v>Purchased</v>
      </c>
    </row>
    <row r="487" spans="1:17" x14ac:dyDescent="0.3">
      <c r="A487">
        <v>19491</v>
      </c>
      <c r="B487" t="s">
        <v>31</v>
      </c>
      <c r="C487" t="str">
        <f t="shared" si="14"/>
        <v>Single</v>
      </c>
      <c r="D487" t="s">
        <v>30</v>
      </c>
      <c r="E487" t="str">
        <f t="shared" si="15"/>
        <v>Male</v>
      </c>
      <c r="F487" s="2">
        <v>30000</v>
      </c>
      <c r="G487">
        <v>2</v>
      </c>
      <c r="H487" t="s">
        <v>16</v>
      </c>
      <c r="I487" t="s">
        <v>17</v>
      </c>
      <c r="J487" t="s">
        <v>13</v>
      </c>
      <c r="K487">
        <v>2</v>
      </c>
      <c r="L487" t="s">
        <v>35</v>
      </c>
      <c r="M487" t="s">
        <v>14</v>
      </c>
      <c r="N487" s="2">
        <v>42</v>
      </c>
      <c r="O487" t="str" cm="1">
        <f t="array" ref="O487">_xlfn.IFS(
  AND(BikePurchase[[#This Row],[Age]]&gt;=18, BikePurchase[[#This Row],[Age]]&lt;=30), "Adolescent",
  AND(BikePurchase[[#This Row],[Age]]&gt;30, BikePurchase[[#This Row],[Age]]&lt;55), "Middle Aged",
  AND(BikePurchase[[#This Row],[Age]]&gt;=55, BikePurchase[[#This Row],[Age]]&lt;90), "Old",
  TRUE, "Invalid"
)</f>
        <v>Middle Aged</v>
      </c>
      <c r="P487" t="s">
        <v>15</v>
      </c>
      <c r="Q487" t="str">
        <f>IF(BikePurchase[[#This Row],[Purchased BikeX]]="No","Not Purchased","Purchased")</f>
        <v>Not Purchased</v>
      </c>
    </row>
    <row r="488" spans="1:17" x14ac:dyDescent="0.3">
      <c r="A488">
        <v>26415</v>
      </c>
      <c r="B488" t="s">
        <v>30</v>
      </c>
      <c r="C488" t="str">
        <f t="shared" si="14"/>
        <v>Married</v>
      </c>
      <c r="D488" t="s">
        <v>29</v>
      </c>
      <c r="E488" t="str">
        <f t="shared" si="15"/>
        <v>Female</v>
      </c>
      <c r="F488" s="2">
        <v>90000</v>
      </c>
      <c r="G488">
        <v>4</v>
      </c>
      <c r="H488" t="s">
        <v>26</v>
      </c>
      <c r="I488" t="s">
        <v>12</v>
      </c>
      <c r="J488" t="s">
        <v>13</v>
      </c>
      <c r="K488">
        <v>4</v>
      </c>
      <c r="L488" t="s">
        <v>48</v>
      </c>
      <c r="M488" t="s">
        <v>14</v>
      </c>
      <c r="N488" s="2">
        <v>58</v>
      </c>
      <c r="O488" t="str" cm="1">
        <f t="array" ref="O488">_xlfn.IFS(
  AND(BikePurchase[[#This Row],[Age]]&gt;=18, BikePurchase[[#This Row],[Age]]&lt;=30), "Adolescent",
  AND(BikePurchase[[#This Row],[Age]]&gt;30, BikePurchase[[#This Row],[Age]]&lt;55), "Middle Aged",
  AND(BikePurchase[[#This Row],[Age]]&gt;=55, BikePurchase[[#This Row],[Age]]&lt;90), "Old",
  TRUE, "Invalid"
)</f>
        <v>Old</v>
      </c>
      <c r="P488" t="s">
        <v>15</v>
      </c>
      <c r="Q488" t="str">
        <f>IF(BikePurchase[[#This Row],[Purchased BikeX]]="No","Not Purchased","Purchased")</f>
        <v>Not Purchased</v>
      </c>
    </row>
    <row r="489" spans="1:17" x14ac:dyDescent="0.3">
      <c r="A489">
        <v>12821</v>
      </c>
      <c r="B489" t="s">
        <v>30</v>
      </c>
      <c r="C489" t="str">
        <f t="shared" si="14"/>
        <v>Married</v>
      </c>
      <c r="D489" t="s">
        <v>30</v>
      </c>
      <c r="E489" t="str">
        <f t="shared" si="15"/>
        <v>Male</v>
      </c>
      <c r="F489" s="2">
        <v>40000</v>
      </c>
      <c r="G489">
        <v>0</v>
      </c>
      <c r="H489" t="s">
        <v>11</v>
      </c>
      <c r="I489" t="s">
        <v>17</v>
      </c>
      <c r="J489" t="s">
        <v>13</v>
      </c>
      <c r="K489">
        <v>0</v>
      </c>
      <c r="L489" t="s">
        <v>35</v>
      </c>
      <c r="M489" t="s">
        <v>14</v>
      </c>
      <c r="N489" s="2">
        <v>39</v>
      </c>
      <c r="O489" t="str" cm="1">
        <f t="array" ref="O489">_xlfn.IFS(
  AND(BikePurchase[[#This Row],[Age]]&gt;=18, BikePurchase[[#This Row],[Age]]&lt;=30), "Adolescent",
  AND(BikePurchase[[#This Row],[Age]]&gt;30, BikePurchase[[#This Row],[Age]]&lt;55), "Middle Aged",
  AND(BikePurchase[[#This Row],[Age]]&gt;=55, BikePurchase[[#This Row],[Age]]&lt;90), "Old",
  TRUE, "Invalid"
)</f>
        <v>Middle Aged</v>
      </c>
      <c r="P489" t="s">
        <v>15</v>
      </c>
      <c r="Q489" t="str">
        <f>IF(BikePurchase[[#This Row],[Purchased BikeX]]="No","Not Purchased","Purchased")</f>
        <v>Not Purchased</v>
      </c>
    </row>
    <row r="490" spans="1:17" x14ac:dyDescent="0.3">
      <c r="A490">
        <v>15629</v>
      </c>
      <c r="B490" t="s">
        <v>31</v>
      </c>
      <c r="C490" t="str">
        <f t="shared" si="14"/>
        <v>Single</v>
      </c>
      <c r="D490" t="s">
        <v>29</v>
      </c>
      <c r="E490" t="str">
        <f t="shared" si="15"/>
        <v>Female</v>
      </c>
      <c r="F490" s="2">
        <v>10000</v>
      </c>
      <c r="G490">
        <v>0</v>
      </c>
      <c r="H490" t="s">
        <v>26</v>
      </c>
      <c r="I490" t="s">
        <v>22</v>
      </c>
      <c r="J490" t="s">
        <v>13</v>
      </c>
      <c r="K490">
        <v>2</v>
      </c>
      <c r="L490" t="s">
        <v>23</v>
      </c>
      <c r="M490" t="s">
        <v>14</v>
      </c>
      <c r="N490" s="2">
        <v>34</v>
      </c>
      <c r="O490" t="str" cm="1">
        <f t="array" ref="O490">_xlfn.IFS(
  AND(BikePurchase[[#This Row],[Age]]&gt;=18, BikePurchase[[#This Row],[Age]]&lt;=30), "Adolescent",
  AND(BikePurchase[[#This Row],[Age]]&gt;30, BikePurchase[[#This Row],[Age]]&lt;55), "Middle Aged",
  AND(BikePurchase[[#This Row],[Age]]&gt;=55, BikePurchase[[#This Row],[Age]]&lt;90), "Old",
  TRUE, "Invalid"
)</f>
        <v>Middle Aged</v>
      </c>
      <c r="P490" t="s">
        <v>15</v>
      </c>
      <c r="Q490" t="str">
        <f>IF(BikePurchase[[#This Row],[Purchased BikeX]]="No","Not Purchased","Purchased")</f>
        <v>Not Purchased</v>
      </c>
    </row>
    <row r="491" spans="1:17" x14ac:dyDescent="0.3">
      <c r="A491">
        <v>27835</v>
      </c>
      <c r="B491" t="s">
        <v>30</v>
      </c>
      <c r="C491" t="str">
        <f t="shared" si="14"/>
        <v>Married</v>
      </c>
      <c r="D491" t="s">
        <v>30</v>
      </c>
      <c r="E491" t="str">
        <f t="shared" si="15"/>
        <v>Male</v>
      </c>
      <c r="F491" s="2">
        <v>20000</v>
      </c>
      <c r="G491">
        <v>0</v>
      </c>
      <c r="H491" t="s">
        <v>26</v>
      </c>
      <c r="I491" t="s">
        <v>22</v>
      </c>
      <c r="J491" t="s">
        <v>13</v>
      </c>
      <c r="K491">
        <v>2</v>
      </c>
      <c r="L491" t="s">
        <v>35</v>
      </c>
      <c r="M491" t="s">
        <v>14</v>
      </c>
      <c r="N491" s="2">
        <v>32</v>
      </c>
      <c r="O491" t="str" cm="1">
        <f t="array" ref="O491">_xlfn.IFS(
  AND(BikePurchase[[#This Row],[Age]]&gt;=18, BikePurchase[[#This Row],[Age]]&lt;=30), "Adolescent",
  AND(BikePurchase[[#This Row],[Age]]&gt;30, BikePurchase[[#This Row],[Age]]&lt;55), "Middle Aged",
  AND(BikePurchase[[#This Row],[Age]]&gt;=55, BikePurchase[[#This Row],[Age]]&lt;90), "Old",
  TRUE, "Invalid"
)</f>
        <v>Middle Aged</v>
      </c>
      <c r="P491" t="s">
        <v>15</v>
      </c>
      <c r="Q491" t="str">
        <f>IF(BikePurchase[[#This Row],[Purchased BikeX]]="No","Not Purchased","Purchased")</f>
        <v>Not Purchased</v>
      </c>
    </row>
    <row r="492" spans="1:17" x14ac:dyDescent="0.3">
      <c r="A492">
        <v>11738</v>
      </c>
      <c r="B492" t="s">
        <v>30</v>
      </c>
      <c r="C492" t="str">
        <f t="shared" si="14"/>
        <v>Married</v>
      </c>
      <c r="D492" t="s">
        <v>30</v>
      </c>
      <c r="E492" t="str">
        <f t="shared" si="15"/>
        <v>Male</v>
      </c>
      <c r="F492" s="2">
        <v>60000</v>
      </c>
      <c r="G492">
        <v>4</v>
      </c>
      <c r="H492" t="s">
        <v>11</v>
      </c>
      <c r="I492" t="s">
        <v>18</v>
      </c>
      <c r="J492" t="s">
        <v>13</v>
      </c>
      <c r="K492">
        <v>0</v>
      </c>
      <c r="L492" t="s">
        <v>19</v>
      </c>
      <c r="M492" t="s">
        <v>28</v>
      </c>
      <c r="N492" s="2">
        <v>46</v>
      </c>
      <c r="O492" t="str" cm="1">
        <f t="array" ref="O492">_xlfn.IFS(
  AND(BikePurchase[[#This Row],[Age]]&gt;=18, BikePurchase[[#This Row],[Age]]&lt;=30), "Adolescent",
  AND(BikePurchase[[#This Row],[Age]]&gt;30, BikePurchase[[#This Row],[Age]]&lt;55), "Middle Aged",
  AND(BikePurchase[[#This Row],[Age]]&gt;=55, BikePurchase[[#This Row],[Age]]&lt;90), "Old",
  TRUE, "Invalid"
)</f>
        <v>Middle Aged</v>
      </c>
      <c r="P492" t="s">
        <v>15</v>
      </c>
      <c r="Q492" t="str">
        <f>IF(BikePurchase[[#This Row],[Purchased BikeX]]="No","Not Purchased","Purchased")</f>
        <v>Not Purchased</v>
      </c>
    </row>
    <row r="493" spans="1:17" x14ac:dyDescent="0.3">
      <c r="A493">
        <v>25065</v>
      </c>
      <c r="B493" t="s">
        <v>30</v>
      </c>
      <c r="C493" t="str">
        <f t="shared" si="14"/>
        <v>Married</v>
      </c>
      <c r="D493" t="s">
        <v>30</v>
      </c>
      <c r="E493" t="str">
        <f t="shared" si="15"/>
        <v>Male</v>
      </c>
      <c r="F493" s="2">
        <v>70000</v>
      </c>
      <c r="G493">
        <v>2</v>
      </c>
      <c r="H493" t="s">
        <v>26</v>
      </c>
      <c r="I493" t="s">
        <v>12</v>
      </c>
      <c r="J493" t="s">
        <v>13</v>
      </c>
      <c r="K493">
        <v>2</v>
      </c>
      <c r="L493" t="s">
        <v>20</v>
      </c>
      <c r="M493" t="s">
        <v>28</v>
      </c>
      <c r="N493" s="2">
        <v>48</v>
      </c>
      <c r="O493" t="str" cm="1">
        <f t="array" ref="O493">_xlfn.IFS(
  AND(BikePurchase[[#This Row],[Age]]&gt;=18, BikePurchase[[#This Row],[Age]]&lt;=30), "Adolescent",
  AND(BikePurchase[[#This Row],[Age]]&gt;30, BikePurchase[[#This Row],[Age]]&lt;55), "Middle Aged",
  AND(BikePurchase[[#This Row],[Age]]&gt;=55, BikePurchase[[#This Row],[Age]]&lt;90), "Old",
  TRUE, "Invalid"
)</f>
        <v>Middle Aged</v>
      </c>
      <c r="P493" t="s">
        <v>15</v>
      </c>
      <c r="Q493" t="str">
        <f>IF(BikePurchase[[#This Row],[Purchased BikeX]]="No","Not Purchased","Purchased")</f>
        <v>Not Purchased</v>
      </c>
    </row>
    <row r="494" spans="1:17" x14ac:dyDescent="0.3">
      <c r="A494">
        <v>26238</v>
      </c>
      <c r="B494" t="s">
        <v>31</v>
      </c>
      <c r="C494" t="str">
        <f t="shared" si="14"/>
        <v>Single</v>
      </c>
      <c r="D494" t="s">
        <v>29</v>
      </c>
      <c r="E494" t="str">
        <f t="shared" si="15"/>
        <v>Female</v>
      </c>
      <c r="F494" s="2">
        <v>40000</v>
      </c>
      <c r="G494">
        <v>3</v>
      </c>
      <c r="H494" t="s">
        <v>16</v>
      </c>
      <c r="I494" t="s">
        <v>17</v>
      </c>
      <c r="J494" t="s">
        <v>13</v>
      </c>
      <c r="K494">
        <v>1</v>
      </c>
      <c r="L494" t="s">
        <v>23</v>
      </c>
      <c r="M494" t="s">
        <v>28</v>
      </c>
      <c r="N494" s="2">
        <v>31</v>
      </c>
      <c r="O494" t="str" cm="1">
        <f t="array" ref="O494">_xlfn.IFS(
  AND(BikePurchase[[#This Row],[Age]]&gt;=18, BikePurchase[[#This Row],[Age]]&lt;=30), "Adolescent",
  AND(BikePurchase[[#This Row],[Age]]&gt;30, BikePurchase[[#This Row],[Age]]&lt;55), "Middle Aged",
  AND(BikePurchase[[#This Row],[Age]]&gt;=55, BikePurchase[[#This Row],[Age]]&lt;90), "Old",
  TRUE, "Invalid"
)</f>
        <v>Middle Aged</v>
      </c>
      <c r="P494" t="s">
        <v>13</v>
      </c>
      <c r="Q494" t="str">
        <f>IF(BikePurchase[[#This Row],[Purchased BikeX]]="No","Not Purchased","Purchased")</f>
        <v>Purchased</v>
      </c>
    </row>
    <row r="495" spans="1:17" x14ac:dyDescent="0.3">
      <c r="A495">
        <v>23707</v>
      </c>
      <c r="B495" t="s">
        <v>31</v>
      </c>
      <c r="C495" t="str">
        <f t="shared" si="14"/>
        <v>Single</v>
      </c>
      <c r="D495" t="s">
        <v>30</v>
      </c>
      <c r="E495" t="str">
        <f t="shared" si="15"/>
        <v>Male</v>
      </c>
      <c r="F495" s="2">
        <v>70000</v>
      </c>
      <c r="G495">
        <v>5</v>
      </c>
      <c r="H495" t="s">
        <v>11</v>
      </c>
      <c r="I495" t="s">
        <v>25</v>
      </c>
      <c r="J495" t="s">
        <v>13</v>
      </c>
      <c r="K495">
        <v>3</v>
      </c>
      <c r="L495" t="s">
        <v>48</v>
      </c>
      <c r="M495" t="s">
        <v>28</v>
      </c>
      <c r="N495" s="2">
        <v>60</v>
      </c>
      <c r="O495" t="str" cm="1">
        <f t="array" ref="O495">_xlfn.IFS(
  AND(BikePurchase[[#This Row],[Age]]&gt;=18, BikePurchase[[#This Row],[Age]]&lt;=30), "Adolescent",
  AND(BikePurchase[[#This Row],[Age]]&gt;30, BikePurchase[[#This Row],[Age]]&lt;55), "Middle Aged",
  AND(BikePurchase[[#This Row],[Age]]&gt;=55, BikePurchase[[#This Row],[Age]]&lt;90), "Old",
  TRUE, "Invalid"
)</f>
        <v>Old</v>
      </c>
      <c r="P495" t="s">
        <v>13</v>
      </c>
      <c r="Q495" t="str">
        <f>IF(BikePurchase[[#This Row],[Purchased BikeX]]="No","Not Purchased","Purchased")</f>
        <v>Purchased</v>
      </c>
    </row>
    <row r="496" spans="1:17" x14ac:dyDescent="0.3">
      <c r="A496">
        <v>27650</v>
      </c>
      <c r="B496" t="s">
        <v>30</v>
      </c>
      <c r="C496" t="str">
        <f t="shared" si="14"/>
        <v>Married</v>
      </c>
      <c r="D496" t="s">
        <v>30</v>
      </c>
      <c r="E496" t="str">
        <f t="shared" si="15"/>
        <v>Male</v>
      </c>
      <c r="F496" s="2">
        <v>70000</v>
      </c>
      <c r="G496">
        <v>4</v>
      </c>
      <c r="H496" t="s">
        <v>24</v>
      </c>
      <c r="I496" t="s">
        <v>18</v>
      </c>
      <c r="J496" t="s">
        <v>13</v>
      </c>
      <c r="K496">
        <v>0</v>
      </c>
      <c r="L496" t="s">
        <v>20</v>
      </c>
      <c r="M496" t="s">
        <v>28</v>
      </c>
      <c r="N496" s="2">
        <v>51</v>
      </c>
      <c r="O496" t="str" cm="1">
        <f t="array" ref="O496">_xlfn.IFS(
  AND(BikePurchase[[#This Row],[Age]]&gt;=18, BikePurchase[[#This Row],[Age]]&lt;=30), "Adolescent",
  AND(BikePurchase[[#This Row],[Age]]&gt;30, BikePurchase[[#This Row],[Age]]&lt;55), "Middle Aged",
  AND(BikePurchase[[#This Row],[Age]]&gt;=55, BikePurchase[[#This Row],[Age]]&lt;90), "Old",
  TRUE, "Invalid"
)</f>
        <v>Middle Aged</v>
      </c>
      <c r="P496" t="s">
        <v>15</v>
      </c>
      <c r="Q496" t="str">
        <f>IF(BikePurchase[[#This Row],[Purchased BikeX]]="No","Not Purchased","Purchased")</f>
        <v>Not Purchased</v>
      </c>
    </row>
    <row r="497" spans="1:17" x14ac:dyDescent="0.3">
      <c r="A497">
        <v>24981</v>
      </c>
      <c r="B497" t="s">
        <v>30</v>
      </c>
      <c r="C497" t="str">
        <f t="shared" si="14"/>
        <v>Married</v>
      </c>
      <c r="D497" t="s">
        <v>30</v>
      </c>
      <c r="E497" t="str">
        <f t="shared" si="15"/>
        <v>Male</v>
      </c>
      <c r="F497" s="2">
        <v>60000</v>
      </c>
      <c r="G497">
        <v>2</v>
      </c>
      <c r="H497" t="s">
        <v>16</v>
      </c>
      <c r="I497" t="s">
        <v>18</v>
      </c>
      <c r="J497" t="s">
        <v>13</v>
      </c>
      <c r="K497">
        <v>2</v>
      </c>
      <c r="L497" t="s">
        <v>48</v>
      </c>
      <c r="M497" t="s">
        <v>28</v>
      </c>
      <c r="N497" s="2">
        <v>56</v>
      </c>
      <c r="O497" t="str" cm="1">
        <f t="array" ref="O497">_xlfn.IFS(
  AND(BikePurchase[[#This Row],[Age]]&gt;=18, BikePurchase[[#This Row],[Age]]&lt;=30), "Adolescent",
  AND(BikePurchase[[#This Row],[Age]]&gt;30, BikePurchase[[#This Row],[Age]]&lt;55), "Middle Aged",
  AND(BikePurchase[[#This Row],[Age]]&gt;=55, BikePurchase[[#This Row],[Age]]&lt;90), "Old",
  TRUE, "Invalid"
)</f>
        <v>Old</v>
      </c>
      <c r="P497" t="s">
        <v>15</v>
      </c>
      <c r="Q497" t="str">
        <f>IF(BikePurchase[[#This Row],[Purchased BikeX]]="No","Not Purchased","Purchased")</f>
        <v>Not Purchased</v>
      </c>
    </row>
    <row r="498" spans="1:17" x14ac:dyDescent="0.3">
      <c r="A498">
        <v>20678</v>
      </c>
      <c r="B498" t="s">
        <v>31</v>
      </c>
      <c r="C498" t="str">
        <f t="shared" si="14"/>
        <v>Single</v>
      </c>
      <c r="D498" t="s">
        <v>29</v>
      </c>
      <c r="E498" t="str">
        <f t="shared" si="15"/>
        <v>Female</v>
      </c>
      <c r="F498" s="2">
        <v>60000</v>
      </c>
      <c r="G498">
        <v>3</v>
      </c>
      <c r="H498" t="s">
        <v>11</v>
      </c>
      <c r="I498" t="s">
        <v>12</v>
      </c>
      <c r="J498" t="s">
        <v>13</v>
      </c>
      <c r="K498">
        <v>1</v>
      </c>
      <c r="L498" t="s">
        <v>19</v>
      </c>
      <c r="M498" t="s">
        <v>28</v>
      </c>
      <c r="N498" s="2">
        <v>40</v>
      </c>
      <c r="O498" t="str" cm="1">
        <f t="array" ref="O498">_xlfn.IFS(
  AND(BikePurchase[[#This Row],[Age]]&gt;=18, BikePurchase[[#This Row],[Age]]&lt;=30), "Adolescent",
  AND(BikePurchase[[#This Row],[Age]]&gt;30, BikePurchase[[#This Row],[Age]]&lt;55), "Middle Aged",
  AND(BikePurchase[[#This Row],[Age]]&gt;=55, BikePurchase[[#This Row],[Age]]&lt;90), "Old",
  TRUE, "Invalid"
)</f>
        <v>Middle Aged</v>
      </c>
      <c r="P498" t="s">
        <v>13</v>
      </c>
      <c r="Q498" t="str">
        <f>IF(BikePurchase[[#This Row],[Purchased BikeX]]="No","Not Purchased","Purchased")</f>
        <v>Purchased</v>
      </c>
    </row>
    <row r="499" spans="1:17" x14ac:dyDescent="0.3">
      <c r="A499">
        <v>15302</v>
      </c>
      <c r="B499" t="s">
        <v>31</v>
      </c>
      <c r="C499" t="str">
        <f t="shared" si="14"/>
        <v>Single</v>
      </c>
      <c r="D499" t="s">
        <v>29</v>
      </c>
      <c r="E499" t="str">
        <f t="shared" si="15"/>
        <v>Female</v>
      </c>
      <c r="F499" s="2">
        <v>70000</v>
      </c>
      <c r="G499">
        <v>1</v>
      </c>
      <c r="H499" t="s">
        <v>27</v>
      </c>
      <c r="I499" t="s">
        <v>18</v>
      </c>
      <c r="J499" t="s">
        <v>13</v>
      </c>
      <c r="K499">
        <v>0</v>
      </c>
      <c r="L499" t="s">
        <v>19</v>
      </c>
      <c r="M499" t="s">
        <v>28</v>
      </c>
      <c r="N499" s="2">
        <v>34</v>
      </c>
      <c r="O499" t="str" cm="1">
        <f t="array" ref="O499">_xlfn.IFS(
  AND(BikePurchase[[#This Row],[Age]]&gt;=18, BikePurchase[[#This Row],[Age]]&lt;=30), "Adolescent",
  AND(BikePurchase[[#This Row],[Age]]&gt;30, BikePurchase[[#This Row],[Age]]&lt;55), "Middle Aged",
  AND(BikePurchase[[#This Row],[Age]]&gt;=55, BikePurchase[[#This Row],[Age]]&lt;90), "Old",
  TRUE, "Invalid"
)</f>
        <v>Middle Aged</v>
      </c>
      <c r="P499" t="s">
        <v>13</v>
      </c>
      <c r="Q499" t="str">
        <f>IF(BikePurchase[[#This Row],[Purchased BikeX]]="No","Not Purchased","Purchased")</f>
        <v>Purchased</v>
      </c>
    </row>
    <row r="500" spans="1:17" x14ac:dyDescent="0.3">
      <c r="A500">
        <v>26012</v>
      </c>
      <c r="B500" t="s">
        <v>30</v>
      </c>
      <c r="C500" t="str">
        <f t="shared" si="14"/>
        <v>Married</v>
      </c>
      <c r="D500" t="s">
        <v>30</v>
      </c>
      <c r="E500" t="str">
        <f t="shared" si="15"/>
        <v>Male</v>
      </c>
      <c r="F500" s="2">
        <v>80000</v>
      </c>
      <c r="G500">
        <v>1</v>
      </c>
      <c r="H500" t="s">
        <v>16</v>
      </c>
      <c r="I500" t="s">
        <v>12</v>
      </c>
      <c r="J500" t="s">
        <v>13</v>
      </c>
      <c r="K500">
        <v>1</v>
      </c>
      <c r="L500" t="s">
        <v>19</v>
      </c>
      <c r="M500" t="s">
        <v>28</v>
      </c>
      <c r="N500" s="2">
        <v>48</v>
      </c>
      <c r="O500" t="str" cm="1">
        <f t="array" ref="O500">_xlfn.IFS(
  AND(BikePurchase[[#This Row],[Age]]&gt;=18, BikePurchase[[#This Row],[Age]]&lt;=30), "Adolescent",
  AND(BikePurchase[[#This Row],[Age]]&gt;30, BikePurchase[[#This Row],[Age]]&lt;55), "Middle Aged",
  AND(BikePurchase[[#This Row],[Age]]&gt;=55, BikePurchase[[#This Row],[Age]]&lt;90), "Old",
  TRUE, "Invalid"
)</f>
        <v>Middle Aged</v>
      </c>
      <c r="P500" t="s">
        <v>13</v>
      </c>
      <c r="Q500" t="str">
        <f>IF(BikePurchase[[#This Row],[Purchased BikeX]]="No","Not Purchased","Purchased")</f>
        <v>Purchased</v>
      </c>
    </row>
    <row r="501" spans="1:17" x14ac:dyDescent="0.3">
      <c r="A501">
        <v>26575</v>
      </c>
      <c r="B501" t="s">
        <v>31</v>
      </c>
      <c r="C501" t="str">
        <f t="shared" si="14"/>
        <v>Single</v>
      </c>
      <c r="D501" t="s">
        <v>29</v>
      </c>
      <c r="E501" t="str">
        <f t="shared" si="15"/>
        <v>Female</v>
      </c>
      <c r="F501" s="2">
        <v>40000</v>
      </c>
      <c r="G501">
        <v>0</v>
      </c>
      <c r="H501" t="s">
        <v>24</v>
      </c>
      <c r="I501" t="s">
        <v>12</v>
      </c>
      <c r="J501" t="s">
        <v>15</v>
      </c>
      <c r="K501">
        <v>2</v>
      </c>
      <c r="L501" t="s">
        <v>23</v>
      </c>
      <c r="M501" t="s">
        <v>28</v>
      </c>
      <c r="N501" s="2">
        <v>31</v>
      </c>
      <c r="O501" t="str" cm="1">
        <f t="array" ref="O501">_xlfn.IFS(
  AND(BikePurchase[[#This Row],[Age]]&gt;=18, BikePurchase[[#This Row],[Age]]&lt;=30), "Adolescent",
  AND(BikePurchase[[#This Row],[Age]]&gt;30, BikePurchase[[#This Row],[Age]]&lt;55), "Middle Aged",
  AND(BikePurchase[[#This Row],[Age]]&gt;=55, BikePurchase[[#This Row],[Age]]&lt;90), "Old",
  TRUE, "Invalid"
)</f>
        <v>Middle Aged</v>
      </c>
      <c r="P501" t="s">
        <v>13</v>
      </c>
      <c r="Q501" t="str">
        <f>IF(BikePurchase[[#This Row],[Purchased BikeX]]="No","Not Purchased","Purchased")</f>
        <v>Purchased</v>
      </c>
    </row>
    <row r="502" spans="1:17" x14ac:dyDescent="0.3">
      <c r="A502">
        <v>15559</v>
      </c>
      <c r="B502" t="s">
        <v>30</v>
      </c>
      <c r="C502" t="str">
        <f t="shared" si="14"/>
        <v>Married</v>
      </c>
      <c r="D502" t="s">
        <v>30</v>
      </c>
      <c r="E502" t="str">
        <f t="shared" si="15"/>
        <v>Male</v>
      </c>
      <c r="F502" s="2">
        <v>60000</v>
      </c>
      <c r="G502">
        <v>5</v>
      </c>
      <c r="H502" t="s">
        <v>11</v>
      </c>
      <c r="I502" t="s">
        <v>18</v>
      </c>
      <c r="J502" t="s">
        <v>13</v>
      </c>
      <c r="K502">
        <v>1</v>
      </c>
      <c r="L502" t="s">
        <v>19</v>
      </c>
      <c r="M502" t="s">
        <v>28</v>
      </c>
      <c r="N502" s="2">
        <v>47</v>
      </c>
      <c r="O502" t="str" cm="1">
        <f t="array" ref="O502">_xlfn.IFS(
  AND(BikePurchase[[#This Row],[Age]]&gt;=18, BikePurchase[[#This Row],[Age]]&lt;=30), "Adolescent",
  AND(BikePurchase[[#This Row],[Age]]&gt;30, BikePurchase[[#This Row],[Age]]&lt;55), "Middle Aged",
  AND(BikePurchase[[#This Row],[Age]]&gt;=55, BikePurchase[[#This Row],[Age]]&lt;90), "Old",
  TRUE, "Invalid"
)</f>
        <v>Middle Aged</v>
      </c>
      <c r="P502" t="s">
        <v>15</v>
      </c>
      <c r="Q502" t="str">
        <f>IF(BikePurchase[[#This Row],[Purchased BikeX]]="No","Not Purchased","Purchased")</f>
        <v>Not Purchased</v>
      </c>
    </row>
    <row r="503" spans="1:17" x14ac:dyDescent="0.3">
      <c r="A503">
        <v>19235</v>
      </c>
      <c r="B503" t="s">
        <v>30</v>
      </c>
      <c r="C503" t="str">
        <f t="shared" si="14"/>
        <v>Married</v>
      </c>
      <c r="D503" t="s">
        <v>29</v>
      </c>
      <c r="E503" t="str">
        <f t="shared" si="15"/>
        <v>Female</v>
      </c>
      <c r="F503" s="2">
        <v>50000</v>
      </c>
      <c r="G503">
        <v>0</v>
      </c>
      <c r="H503" t="s">
        <v>27</v>
      </c>
      <c r="I503" t="s">
        <v>12</v>
      </c>
      <c r="J503" t="s">
        <v>13</v>
      </c>
      <c r="K503">
        <v>0</v>
      </c>
      <c r="L503" t="s">
        <v>35</v>
      </c>
      <c r="M503" t="s">
        <v>28</v>
      </c>
      <c r="N503" s="2">
        <v>34</v>
      </c>
      <c r="O503" t="str" cm="1">
        <f t="array" ref="O503">_xlfn.IFS(
  AND(BikePurchase[[#This Row],[Age]]&gt;=18, BikePurchase[[#This Row],[Age]]&lt;=30), "Adolescent",
  AND(BikePurchase[[#This Row],[Age]]&gt;30, BikePurchase[[#This Row],[Age]]&lt;55), "Middle Aged",
  AND(BikePurchase[[#This Row],[Age]]&gt;=55, BikePurchase[[#This Row],[Age]]&lt;90), "Old",
  TRUE, "Invalid"
)</f>
        <v>Middle Aged</v>
      </c>
      <c r="P503" t="s">
        <v>15</v>
      </c>
      <c r="Q503" t="str">
        <f>IF(BikePurchase[[#This Row],[Purchased BikeX]]="No","Not Purchased","Purchased")</f>
        <v>Not Purchased</v>
      </c>
    </row>
    <row r="504" spans="1:17" x14ac:dyDescent="0.3">
      <c r="A504">
        <v>15275</v>
      </c>
      <c r="B504" t="s">
        <v>30</v>
      </c>
      <c r="C504" t="str">
        <f t="shared" si="14"/>
        <v>Married</v>
      </c>
      <c r="D504" t="s">
        <v>30</v>
      </c>
      <c r="E504" t="str">
        <f t="shared" si="15"/>
        <v>Male</v>
      </c>
      <c r="F504" s="2">
        <v>40000</v>
      </c>
      <c r="G504">
        <v>0</v>
      </c>
      <c r="H504" t="s">
        <v>16</v>
      </c>
      <c r="I504" t="s">
        <v>12</v>
      </c>
      <c r="J504" t="s">
        <v>13</v>
      </c>
      <c r="K504">
        <v>1</v>
      </c>
      <c r="L504" t="s">
        <v>20</v>
      </c>
      <c r="M504" t="s">
        <v>28</v>
      </c>
      <c r="N504" s="2">
        <v>29</v>
      </c>
      <c r="O504" t="str" cm="1">
        <f t="array" ref="O504">_xlfn.IFS(
  AND(BikePurchase[[#This Row],[Age]]&gt;=18, BikePurchase[[#This Row],[Age]]&lt;=30), "Adolescent",
  AND(BikePurchase[[#This Row],[Age]]&gt;30, BikePurchase[[#This Row],[Age]]&lt;55), "Middle Aged",
  AND(BikePurchase[[#This Row],[Age]]&gt;=55, BikePurchase[[#This Row],[Age]]&lt;90), "Old",
  TRUE, "Invalid"
)</f>
        <v>Adolescent</v>
      </c>
      <c r="P504" t="s">
        <v>15</v>
      </c>
      <c r="Q504" t="str">
        <f>IF(BikePurchase[[#This Row],[Purchased BikeX]]="No","Not Purchased","Purchased")</f>
        <v>Not Purchased</v>
      </c>
    </row>
    <row r="505" spans="1:17" x14ac:dyDescent="0.3">
      <c r="A505">
        <v>20339</v>
      </c>
      <c r="B505" t="s">
        <v>30</v>
      </c>
      <c r="C505" t="str">
        <f t="shared" si="14"/>
        <v>Married</v>
      </c>
      <c r="D505" t="s">
        <v>29</v>
      </c>
      <c r="E505" t="str">
        <f t="shared" si="15"/>
        <v>Female</v>
      </c>
      <c r="F505" s="2">
        <v>130000</v>
      </c>
      <c r="G505">
        <v>1</v>
      </c>
      <c r="H505" t="s">
        <v>11</v>
      </c>
      <c r="I505" t="s">
        <v>25</v>
      </c>
      <c r="J505" t="s">
        <v>13</v>
      </c>
      <c r="K505">
        <v>4</v>
      </c>
      <c r="L505" t="s">
        <v>19</v>
      </c>
      <c r="M505" t="s">
        <v>28</v>
      </c>
      <c r="N505" s="2">
        <v>44</v>
      </c>
      <c r="O505" t="str" cm="1">
        <f t="array" ref="O505">_xlfn.IFS(
  AND(BikePurchase[[#This Row],[Age]]&gt;=18, BikePurchase[[#This Row],[Age]]&lt;=30), "Adolescent",
  AND(BikePurchase[[#This Row],[Age]]&gt;30, BikePurchase[[#This Row],[Age]]&lt;55), "Middle Aged",
  AND(BikePurchase[[#This Row],[Age]]&gt;=55, BikePurchase[[#This Row],[Age]]&lt;90), "Old",
  TRUE, "Invalid"
)</f>
        <v>Middle Aged</v>
      </c>
      <c r="P505" t="s">
        <v>13</v>
      </c>
      <c r="Q505" t="str">
        <f>IF(BikePurchase[[#This Row],[Purchased BikeX]]="No","Not Purchased","Purchased")</f>
        <v>Purchased</v>
      </c>
    </row>
    <row r="506" spans="1:17" x14ac:dyDescent="0.3">
      <c r="A506">
        <v>25405</v>
      </c>
      <c r="B506" t="s">
        <v>30</v>
      </c>
      <c r="C506" t="str">
        <f t="shared" si="14"/>
        <v>Married</v>
      </c>
      <c r="D506" t="s">
        <v>30</v>
      </c>
      <c r="E506" t="str">
        <f t="shared" si="15"/>
        <v>Male</v>
      </c>
      <c r="F506" s="2">
        <v>70000</v>
      </c>
      <c r="G506">
        <v>2</v>
      </c>
      <c r="H506" t="s">
        <v>11</v>
      </c>
      <c r="I506" t="s">
        <v>12</v>
      </c>
      <c r="J506" t="s">
        <v>13</v>
      </c>
      <c r="K506">
        <v>1</v>
      </c>
      <c r="L506" t="s">
        <v>19</v>
      </c>
      <c r="M506" t="s">
        <v>28</v>
      </c>
      <c r="N506" s="2">
        <v>38</v>
      </c>
      <c r="O506" t="str" cm="1">
        <f t="array" ref="O506">_xlfn.IFS(
  AND(BikePurchase[[#This Row],[Age]]&gt;=18, BikePurchase[[#This Row],[Age]]&lt;=30), "Adolescent",
  AND(BikePurchase[[#This Row],[Age]]&gt;30, BikePurchase[[#This Row],[Age]]&lt;55), "Middle Aged",
  AND(BikePurchase[[#This Row],[Age]]&gt;=55, BikePurchase[[#This Row],[Age]]&lt;90), "Old",
  TRUE, "Invalid"
)</f>
        <v>Middle Aged</v>
      </c>
      <c r="P506" t="s">
        <v>13</v>
      </c>
      <c r="Q506" t="str">
        <f>IF(BikePurchase[[#This Row],[Purchased BikeX]]="No","Not Purchased","Purchased")</f>
        <v>Purchased</v>
      </c>
    </row>
    <row r="507" spans="1:17" x14ac:dyDescent="0.3">
      <c r="A507">
        <v>15940</v>
      </c>
      <c r="B507" t="s">
        <v>30</v>
      </c>
      <c r="C507" t="str">
        <f t="shared" si="14"/>
        <v>Married</v>
      </c>
      <c r="D507" t="s">
        <v>30</v>
      </c>
      <c r="E507" t="str">
        <f t="shared" si="15"/>
        <v>Male</v>
      </c>
      <c r="F507" s="2">
        <v>100000</v>
      </c>
      <c r="G507">
        <v>4</v>
      </c>
      <c r="H507" t="s">
        <v>16</v>
      </c>
      <c r="I507" t="s">
        <v>18</v>
      </c>
      <c r="J507" t="s">
        <v>13</v>
      </c>
      <c r="K507">
        <v>4</v>
      </c>
      <c r="L507" t="s">
        <v>35</v>
      </c>
      <c r="M507" t="s">
        <v>28</v>
      </c>
      <c r="N507" s="2">
        <v>40</v>
      </c>
      <c r="O507" t="str" cm="1">
        <f t="array" ref="O507">_xlfn.IFS(
  AND(BikePurchase[[#This Row],[Age]]&gt;=18, BikePurchase[[#This Row],[Age]]&lt;=30), "Adolescent",
  AND(BikePurchase[[#This Row],[Age]]&gt;30, BikePurchase[[#This Row],[Age]]&lt;55), "Middle Aged",
  AND(BikePurchase[[#This Row],[Age]]&gt;=55, BikePurchase[[#This Row],[Age]]&lt;90), "Old",
  TRUE, "Invalid"
)</f>
        <v>Middle Aged</v>
      </c>
      <c r="P507" t="s">
        <v>15</v>
      </c>
      <c r="Q507" t="str">
        <f>IF(BikePurchase[[#This Row],[Purchased BikeX]]="No","Not Purchased","Purchased")</f>
        <v>Not Purchased</v>
      </c>
    </row>
    <row r="508" spans="1:17" x14ac:dyDescent="0.3">
      <c r="A508">
        <v>25074</v>
      </c>
      <c r="B508" t="s">
        <v>30</v>
      </c>
      <c r="C508" t="str">
        <f t="shared" si="14"/>
        <v>Married</v>
      </c>
      <c r="D508" t="s">
        <v>29</v>
      </c>
      <c r="E508" t="str">
        <f t="shared" si="15"/>
        <v>Female</v>
      </c>
      <c r="F508" s="2">
        <v>70000</v>
      </c>
      <c r="G508">
        <v>4</v>
      </c>
      <c r="H508" t="s">
        <v>11</v>
      </c>
      <c r="I508" t="s">
        <v>18</v>
      </c>
      <c r="J508" t="s">
        <v>13</v>
      </c>
      <c r="K508">
        <v>2</v>
      </c>
      <c r="L508" t="s">
        <v>19</v>
      </c>
      <c r="M508" t="s">
        <v>28</v>
      </c>
      <c r="N508" s="2">
        <v>42</v>
      </c>
      <c r="O508" t="str" cm="1">
        <f t="array" ref="O508">_xlfn.IFS(
  AND(BikePurchase[[#This Row],[Age]]&gt;=18, BikePurchase[[#This Row],[Age]]&lt;=30), "Adolescent",
  AND(BikePurchase[[#This Row],[Age]]&gt;30, BikePurchase[[#This Row],[Age]]&lt;55), "Middle Aged",
  AND(BikePurchase[[#This Row],[Age]]&gt;=55, BikePurchase[[#This Row],[Age]]&lt;90), "Old",
  TRUE, "Invalid"
)</f>
        <v>Middle Aged</v>
      </c>
      <c r="P508" t="s">
        <v>13</v>
      </c>
      <c r="Q508" t="str">
        <f>IF(BikePurchase[[#This Row],[Purchased BikeX]]="No","Not Purchased","Purchased")</f>
        <v>Purchased</v>
      </c>
    </row>
    <row r="509" spans="1:17" x14ac:dyDescent="0.3">
      <c r="A509">
        <v>24738</v>
      </c>
      <c r="B509" t="s">
        <v>30</v>
      </c>
      <c r="C509" t="str">
        <f t="shared" si="14"/>
        <v>Married</v>
      </c>
      <c r="D509" t="s">
        <v>29</v>
      </c>
      <c r="E509" t="str">
        <f t="shared" si="15"/>
        <v>Female</v>
      </c>
      <c r="F509" s="2">
        <v>40000</v>
      </c>
      <c r="G509">
        <v>1</v>
      </c>
      <c r="H509" t="s">
        <v>16</v>
      </c>
      <c r="I509" t="s">
        <v>17</v>
      </c>
      <c r="J509" t="s">
        <v>13</v>
      </c>
      <c r="K509">
        <v>1</v>
      </c>
      <c r="L509" t="s">
        <v>23</v>
      </c>
      <c r="M509" t="s">
        <v>28</v>
      </c>
      <c r="N509" s="2">
        <v>51</v>
      </c>
      <c r="O509" t="str" cm="1">
        <f t="array" ref="O509">_xlfn.IFS(
  AND(BikePurchase[[#This Row],[Age]]&gt;=18, BikePurchase[[#This Row],[Age]]&lt;=30), "Adolescent",
  AND(BikePurchase[[#This Row],[Age]]&gt;30, BikePurchase[[#This Row],[Age]]&lt;55), "Middle Aged",
  AND(BikePurchase[[#This Row],[Age]]&gt;=55, BikePurchase[[#This Row],[Age]]&lt;90), "Old",
  TRUE, "Invalid"
)</f>
        <v>Middle Aged</v>
      </c>
      <c r="P509" t="s">
        <v>13</v>
      </c>
      <c r="Q509" t="str">
        <f>IF(BikePurchase[[#This Row],[Purchased BikeX]]="No","Not Purchased","Purchased")</f>
        <v>Purchased</v>
      </c>
    </row>
    <row r="510" spans="1:17" x14ac:dyDescent="0.3">
      <c r="A510">
        <v>16337</v>
      </c>
      <c r="B510" t="s">
        <v>30</v>
      </c>
      <c r="C510" t="str">
        <f t="shared" si="14"/>
        <v>Married</v>
      </c>
      <c r="D510" t="s">
        <v>30</v>
      </c>
      <c r="E510" t="str">
        <f t="shared" si="15"/>
        <v>Male</v>
      </c>
      <c r="F510" s="2">
        <v>60000</v>
      </c>
      <c r="G510">
        <v>0</v>
      </c>
      <c r="H510" t="s">
        <v>16</v>
      </c>
      <c r="I510" t="s">
        <v>12</v>
      </c>
      <c r="J510" t="s">
        <v>15</v>
      </c>
      <c r="K510">
        <v>2</v>
      </c>
      <c r="L510" t="s">
        <v>23</v>
      </c>
      <c r="M510" t="s">
        <v>28</v>
      </c>
      <c r="N510" s="2">
        <v>29</v>
      </c>
      <c r="O510" t="str" cm="1">
        <f t="array" ref="O510">_xlfn.IFS(
  AND(BikePurchase[[#This Row],[Age]]&gt;=18, BikePurchase[[#This Row],[Age]]&lt;=30), "Adolescent",
  AND(BikePurchase[[#This Row],[Age]]&gt;30, BikePurchase[[#This Row],[Age]]&lt;55), "Middle Aged",
  AND(BikePurchase[[#This Row],[Age]]&gt;=55, BikePurchase[[#This Row],[Age]]&lt;90), "Old",
  TRUE, "Invalid"
)</f>
        <v>Adolescent</v>
      </c>
      <c r="P510" t="s">
        <v>15</v>
      </c>
      <c r="Q510" t="str">
        <f>IF(BikePurchase[[#This Row],[Purchased BikeX]]="No","Not Purchased","Purchased")</f>
        <v>Not Purchased</v>
      </c>
    </row>
    <row r="511" spans="1:17" x14ac:dyDescent="0.3">
      <c r="A511">
        <v>24357</v>
      </c>
      <c r="B511" t="s">
        <v>30</v>
      </c>
      <c r="C511" t="str">
        <f t="shared" si="14"/>
        <v>Married</v>
      </c>
      <c r="D511" t="s">
        <v>30</v>
      </c>
      <c r="E511" t="str">
        <f t="shared" si="15"/>
        <v>Male</v>
      </c>
      <c r="F511" s="2">
        <v>80000</v>
      </c>
      <c r="G511">
        <v>3</v>
      </c>
      <c r="H511" t="s">
        <v>11</v>
      </c>
      <c r="I511" t="s">
        <v>18</v>
      </c>
      <c r="J511" t="s">
        <v>13</v>
      </c>
      <c r="K511">
        <v>1</v>
      </c>
      <c r="L511" t="s">
        <v>19</v>
      </c>
      <c r="M511" t="s">
        <v>28</v>
      </c>
      <c r="N511" s="2">
        <v>48</v>
      </c>
      <c r="O511" t="str" cm="1">
        <f t="array" ref="O511">_xlfn.IFS(
  AND(BikePurchase[[#This Row],[Age]]&gt;=18, BikePurchase[[#This Row],[Age]]&lt;=30), "Adolescent",
  AND(BikePurchase[[#This Row],[Age]]&gt;30, BikePurchase[[#This Row],[Age]]&lt;55), "Middle Aged",
  AND(BikePurchase[[#This Row],[Age]]&gt;=55, BikePurchase[[#This Row],[Age]]&lt;90), "Old",
  TRUE, "Invalid"
)</f>
        <v>Middle Aged</v>
      </c>
      <c r="P511" t="s">
        <v>13</v>
      </c>
      <c r="Q511" t="str">
        <f>IF(BikePurchase[[#This Row],[Purchased BikeX]]="No","Not Purchased","Purchased")</f>
        <v>Purchased</v>
      </c>
    </row>
    <row r="512" spans="1:17" x14ac:dyDescent="0.3">
      <c r="A512">
        <v>18613</v>
      </c>
      <c r="B512" t="s">
        <v>31</v>
      </c>
      <c r="C512" t="str">
        <f t="shared" si="14"/>
        <v>Single</v>
      </c>
      <c r="D512" t="s">
        <v>30</v>
      </c>
      <c r="E512" t="str">
        <f t="shared" si="15"/>
        <v>Male</v>
      </c>
      <c r="F512" s="2">
        <v>70000</v>
      </c>
      <c r="G512">
        <v>0</v>
      </c>
      <c r="H512" t="s">
        <v>11</v>
      </c>
      <c r="I512" t="s">
        <v>18</v>
      </c>
      <c r="J512" t="s">
        <v>15</v>
      </c>
      <c r="K512">
        <v>1</v>
      </c>
      <c r="L512" t="s">
        <v>19</v>
      </c>
      <c r="M512" t="s">
        <v>28</v>
      </c>
      <c r="N512" s="2">
        <v>37</v>
      </c>
      <c r="O512" t="str" cm="1">
        <f t="array" ref="O512">_xlfn.IFS(
  AND(BikePurchase[[#This Row],[Age]]&gt;=18, BikePurchase[[#This Row],[Age]]&lt;=30), "Adolescent",
  AND(BikePurchase[[#This Row],[Age]]&gt;30, BikePurchase[[#This Row],[Age]]&lt;55), "Middle Aged",
  AND(BikePurchase[[#This Row],[Age]]&gt;=55, BikePurchase[[#This Row],[Age]]&lt;90), "Old",
  TRUE, "Invalid"
)</f>
        <v>Middle Aged</v>
      </c>
      <c r="P512" t="s">
        <v>13</v>
      </c>
      <c r="Q512" t="str">
        <f>IF(BikePurchase[[#This Row],[Purchased BikeX]]="No","Not Purchased","Purchased")</f>
        <v>Purchased</v>
      </c>
    </row>
    <row r="513" spans="1:17" x14ac:dyDescent="0.3">
      <c r="A513">
        <v>12207</v>
      </c>
      <c r="B513" t="s">
        <v>31</v>
      </c>
      <c r="C513" t="str">
        <f t="shared" si="14"/>
        <v>Single</v>
      </c>
      <c r="D513" t="s">
        <v>30</v>
      </c>
      <c r="E513" t="str">
        <f t="shared" si="15"/>
        <v>Male</v>
      </c>
      <c r="F513" s="2">
        <v>80000</v>
      </c>
      <c r="G513">
        <v>4</v>
      </c>
      <c r="H513" t="s">
        <v>11</v>
      </c>
      <c r="I513" t="s">
        <v>25</v>
      </c>
      <c r="J513" t="s">
        <v>13</v>
      </c>
      <c r="K513">
        <v>0</v>
      </c>
      <c r="L513" t="s">
        <v>20</v>
      </c>
      <c r="M513" t="s">
        <v>28</v>
      </c>
      <c r="N513" s="2">
        <v>66</v>
      </c>
      <c r="O513" t="str" cm="1">
        <f t="array" ref="O513">_xlfn.IFS(
  AND(BikePurchase[[#This Row],[Age]]&gt;=18, BikePurchase[[#This Row],[Age]]&lt;=30), "Adolescent",
  AND(BikePurchase[[#This Row],[Age]]&gt;30, BikePurchase[[#This Row],[Age]]&lt;55), "Middle Aged",
  AND(BikePurchase[[#This Row],[Age]]&gt;=55, BikePurchase[[#This Row],[Age]]&lt;90), "Old",
  TRUE, "Invalid"
)</f>
        <v>Old</v>
      </c>
      <c r="P513" t="s">
        <v>13</v>
      </c>
      <c r="Q513" t="str">
        <f>IF(BikePurchase[[#This Row],[Purchased BikeX]]="No","Not Purchased","Purchased")</f>
        <v>Purchased</v>
      </c>
    </row>
    <row r="514" spans="1:17" x14ac:dyDescent="0.3">
      <c r="A514">
        <v>18052</v>
      </c>
      <c r="B514" t="s">
        <v>30</v>
      </c>
      <c r="C514" t="str">
        <f t="shared" ref="C514:C577" si="16">IF(B514="M","Married","Single")</f>
        <v>Married</v>
      </c>
      <c r="D514" t="s">
        <v>29</v>
      </c>
      <c r="E514" t="str">
        <f t="shared" ref="E514:E577" si="17">IF(D514="F","Female","Male")</f>
        <v>Female</v>
      </c>
      <c r="F514" s="2">
        <v>60000</v>
      </c>
      <c r="G514">
        <v>1</v>
      </c>
      <c r="H514" t="s">
        <v>16</v>
      </c>
      <c r="I514" t="s">
        <v>12</v>
      </c>
      <c r="J514" t="s">
        <v>13</v>
      </c>
      <c r="K514">
        <v>1</v>
      </c>
      <c r="L514" t="s">
        <v>35</v>
      </c>
      <c r="M514" t="s">
        <v>28</v>
      </c>
      <c r="N514" s="2">
        <v>45</v>
      </c>
      <c r="O514" t="str" cm="1">
        <f t="array" ref="O514">_xlfn.IFS(
  AND(BikePurchase[[#This Row],[Age]]&gt;=18, BikePurchase[[#This Row],[Age]]&lt;=30), "Adolescent",
  AND(BikePurchase[[#This Row],[Age]]&gt;30, BikePurchase[[#This Row],[Age]]&lt;55), "Middle Aged",
  AND(BikePurchase[[#This Row],[Age]]&gt;=55, BikePurchase[[#This Row],[Age]]&lt;90), "Old",
  TRUE, "Invalid"
)</f>
        <v>Middle Aged</v>
      </c>
      <c r="P514" t="s">
        <v>13</v>
      </c>
      <c r="Q514" t="str">
        <f>IF(BikePurchase[[#This Row],[Purchased BikeX]]="No","Not Purchased","Purchased")</f>
        <v>Purchased</v>
      </c>
    </row>
    <row r="515" spans="1:17" x14ac:dyDescent="0.3">
      <c r="A515">
        <v>13353</v>
      </c>
      <c r="B515" t="s">
        <v>31</v>
      </c>
      <c r="C515" t="str">
        <f t="shared" si="16"/>
        <v>Single</v>
      </c>
      <c r="D515" t="s">
        <v>29</v>
      </c>
      <c r="E515" t="str">
        <f t="shared" si="17"/>
        <v>Female</v>
      </c>
      <c r="F515" s="2">
        <v>60000</v>
      </c>
      <c r="G515">
        <v>4</v>
      </c>
      <c r="H515" t="s">
        <v>27</v>
      </c>
      <c r="I515" t="s">
        <v>25</v>
      </c>
      <c r="J515" t="s">
        <v>13</v>
      </c>
      <c r="K515">
        <v>2</v>
      </c>
      <c r="L515" t="s">
        <v>48</v>
      </c>
      <c r="M515" t="s">
        <v>28</v>
      </c>
      <c r="N515" s="2">
        <v>61</v>
      </c>
      <c r="O515" t="str" cm="1">
        <f t="array" ref="O515">_xlfn.IFS(
  AND(BikePurchase[[#This Row],[Age]]&gt;=18, BikePurchase[[#This Row],[Age]]&lt;=30), "Adolescent",
  AND(BikePurchase[[#This Row],[Age]]&gt;30, BikePurchase[[#This Row],[Age]]&lt;55), "Middle Aged",
  AND(BikePurchase[[#This Row],[Age]]&gt;=55, BikePurchase[[#This Row],[Age]]&lt;90), "Old",
  TRUE, "Invalid"
)</f>
        <v>Old</v>
      </c>
      <c r="P515" t="s">
        <v>13</v>
      </c>
      <c r="Q515" t="str">
        <f>IF(BikePurchase[[#This Row],[Purchased BikeX]]="No","Not Purchased","Purchased")</f>
        <v>Purchased</v>
      </c>
    </row>
    <row r="516" spans="1:17" x14ac:dyDescent="0.3">
      <c r="A516">
        <v>19399</v>
      </c>
      <c r="B516" t="s">
        <v>31</v>
      </c>
      <c r="C516" t="str">
        <f t="shared" si="16"/>
        <v>Single</v>
      </c>
      <c r="D516" t="s">
        <v>30</v>
      </c>
      <c r="E516" t="str">
        <f t="shared" si="17"/>
        <v>Male</v>
      </c>
      <c r="F516" s="2">
        <v>40000</v>
      </c>
      <c r="G516">
        <v>0</v>
      </c>
      <c r="H516" t="s">
        <v>11</v>
      </c>
      <c r="I516" t="s">
        <v>18</v>
      </c>
      <c r="J516" t="s">
        <v>15</v>
      </c>
      <c r="K516">
        <v>1</v>
      </c>
      <c r="L516" t="s">
        <v>19</v>
      </c>
      <c r="M516" t="s">
        <v>28</v>
      </c>
      <c r="N516" s="2">
        <v>45</v>
      </c>
      <c r="O516" t="str" cm="1">
        <f t="array" ref="O516">_xlfn.IFS(
  AND(BikePurchase[[#This Row],[Age]]&gt;=18, BikePurchase[[#This Row],[Age]]&lt;=30), "Adolescent",
  AND(BikePurchase[[#This Row],[Age]]&gt;30, BikePurchase[[#This Row],[Age]]&lt;55), "Middle Aged",
  AND(BikePurchase[[#This Row],[Age]]&gt;=55, BikePurchase[[#This Row],[Age]]&lt;90), "Old",
  TRUE, "Invalid"
)</f>
        <v>Middle Aged</v>
      </c>
      <c r="P516" t="s">
        <v>15</v>
      </c>
      <c r="Q516" t="str">
        <f>IF(BikePurchase[[#This Row],[Purchased BikeX]]="No","Not Purchased","Purchased")</f>
        <v>Not Purchased</v>
      </c>
    </row>
    <row r="517" spans="1:17" x14ac:dyDescent="0.3">
      <c r="A517">
        <v>16154</v>
      </c>
      <c r="B517" t="s">
        <v>30</v>
      </c>
      <c r="C517" t="str">
        <f t="shared" si="16"/>
        <v>Married</v>
      </c>
      <c r="D517" t="s">
        <v>29</v>
      </c>
      <c r="E517" t="str">
        <f t="shared" si="17"/>
        <v>Female</v>
      </c>
      <c r="F517" s="2">
        <v>70000</v>
      </c>
      <c r="G517">
        <v>5</v>
      </c>
      <c r="H517" t="s">
        <v>11</v>
      </c>
      <c r="I517" t="s">
        <v>18</v>
      </c>
      <c r="J517" t="s">
        <v>13</v>
      </c>
      <c r="K517">
        <v>2</v>
      </c>
      <c r="L517" t="s">
        <v>19</v>
      </c>
      <c r="M517" t="s">
        <v>28</v>
      </c>
      <c r="N517" s="2">
        <v>47</v>
      </c>
      <c r="O517" t="str" cm="1">
        <f t="array" ref="O517">_xlfn.IFS(
  AND(BikePurchase[[#This Row],[Age]]&gt;=18, BikePurchase[[#This Row],[Age]]&lt;=30), "Adolescent",
  AND(BikePurchase[[#This Row],[Age]]&gt;30, BikePurchase[[#This Row],[Age]]&lt;55), "Middle Aged",
  AND(BikePurchase[[#This Row],[Age]]&gt;=55, BikePurchase[[#This Row],[Age]]&lt;90), "Old",
  TRUE, "Invalid"
)</f>
        <v>Middle Aged</v>
      </c>
      <c r="P517" t="s">
        <v>15</v>
      </c>
      <c r="Q517" t="str">
        <f>IF(BikePurchase[[#This Row],[Purchased BikeX]]="No","Not Purchased","Purchased")</f>
        <v>Not Purchased</v>
      </c>
    </row>
    <row r="518" spans="1:17" x14ac:dyDescent="0.3">
      <c r="A518">
        <v>22219</v>
      </c>
      <c r="B518" t="s">
        <v>30</v>
      </c>
      <c r="C518" t="str">
        <f t="shared" si="16"/>
        <v>Married</v>
      </c>
      <c r="D518" t="s">
        <v>29</v>
      </c>
      <c r="E518" t="str">
        <f t="shared" si="17"/>
        <v>Female</v>
      </c>
      <c r="F518" s="2">
        <v>60000</v>
      </c>
      <c r="G518">
        <v>2</v>
      </c>
      <c r="H518" t="s">
        <v>24</v>
      </c>
      <c r="I518" t="s">
        <v>18</v>
      </c>
      <c r="J518" t="s">
        <v>13</v>
      </c>
      <c r="K518">
        <v>2</v>
      </c>
      <c r="L518" t="s">
        <v>20</v>
      </c>
      <c r="M518" t="s">
        <v>28</v>
      </c>
      <c r="N518" s="2">
        <v>49</v>
      </c>
      <c r="O518" t="str" cm="1">
        <f t="array" ref="O518">_xlfn.IFS(
  AND(BikePurchase[[#This Row],[Age]]&gt;=18, BikePurchase[[#This Row],[Age]]&lt;=30), "Adolescent",
  AND(BikePurchase[[#This Row],[Age]]&gt;30, BikePurchase[[#This Row],[Age]]&lt;55), "Middle Aged",
  AND(BikePurchase[[#This Row],[Age]]&gt;=55, BikePurchase[[#This Row],[Age]]&lt;90), "Old",
  TRUE, "Invalid"
)</f>
        <v>Middle Aged</v>
      </c>
      <c r="P518" t="s">
        <v>15</v>
      </c>
      <c r="Q518" t="str">
        <f>IF(BikePurchase[[#This Row],[Purchased BikeX]]="No","Not Purchased","Purchased")</f>
        <v>Not Purchased</v>
      </c>
    </row>
    <row r="519" spans="1:17" x14ac:dyDescent="0.3">
      <c r="A519">
        <v>17269</v>
      </c>
      <c r="B519" t="s">
        <v>31</v>
      </c>
      <c r="C519" t="str">
        <f t="shared" si="16"/>
        <v>Single</v>
      </c>
      <c r="D519" t="s">
        <v>30</v>
      </c>
      <c r="E519" t="str">
        <f t="shared" si="17"/>
        <v>Male</v>
      </c>
      <c r="F519" s="2">
        <v>60000</v>
      </c>
      <c r="G519">
        <v>3</v>
      </c>
      <c r="H519" t="s">
        <v>11</v>
      </c>
      <c r="I519" t="s">
        <v>18</v>
      </c>
      <c r="J519" t="s">
        <v>15</v>
      </c>
      <c r="K519">
        <v>0</v>
      </c>
      <c r="L519" t="s">
        <v>35</v>
      </c>
      <c r="M519" t="s">
        <v>28</v>
      </c>
      <c r="N519" s="2">
        <v>47</v>
      </c>
      <c r="O519" t="str" cm="1">
        <f t="array" ref="O519">_xlfn.IFS(
  AND(BikePurchase[[#This Row],[Age]]&gt;=18, BikePurchase[[#This Row],[Age]]&lt;=30), "Adolescent",
  AND(BikePurchase[[#This Row],[Age]]&gt;30, BikePurchase[[#This Row],[Age]]&lt;55), "Middle Aged",
  AND(BikePurchase[[#This Row],[Age]]&gt;=55, BikePurchase[[#This Row],[Age]]&lt;90), "Old",
  TRUE, "Invalid"
)</f>
        <v>Middle Aged</v>
      </c>
      <c r="P519" t="s">
        <v>13</v>
      </c>
      <c r="Q519" t="str">
        <f>IF(BikePurchase[[#This Row],[Purchased BikeX]]="No","Not Purchased","Purchased")</f>
        <v>Purchased</v>
      </c>
    </row>
    <row r="520" spans="1:17" x14ac:dyDescent="0.3">
      <c r="A520">
        <v>23586</v>
      </c>
      <c r="B520" t="s">
        <v>30</v>
      </c>
      <c r="C520" t="str">
        <f t="shared" si="16"/>
        <v>Married</v>
      </c>
      <c r="D520" t="s">
        <v>29</v>
      </c>
      <c r="E520" t="str">
        <f t="shared" si="17"/>
        <v>Female</v>
      </c>
      <c r="F520" s="2">
        <v>80000</v>
      </c>
      <c r="G520">
        <v>0</v>
      </c>
      <c r="H520" t="s">
        <v>11</v>
      </c>
      <c r="I520" t="s">
        <v>25</v>
      </c>
      <c r="J520" t="s">
        <v>13</v>
      </c>
      <c r="K520">
        <v>1</v>
      </c>
      <c r="L520" t="s">
        <v>23</v>
      </c>
      <c r="M520" t="s">
        <v>28</v>
      </c>
      <c r="N520" s="2">
        <v>34</v>
      </c>
      <c r="O520" t="str" cm="1">
        <f t="array" ref="O520">_xlfn.IFS(
  AND(BikePurchase[[#This Row],[Age]]&gt;=18, BikePurchase[[#This Row],[Age]]&lt;=30), "Adolescent",
  AND(BikePurchase[[#This Row],[Age]]&gt;30, BikePurchase[[#This Row],[Age]]&lt;55), "Middle Aged",
  AND(BikePurchase[[#This Row],[Age]]&gt;=55, BikePurchase[[#This Row],[Age]]&lt;90), "Old",
  TRUE, "Invalid"
)</f>
        <v>Middle Aged</v>
      </c>
      <c r="P520" t="s">
        <v>13</v>
      </c>
      <c r="Q520" t="str">
        <f>IF(BikePurchase[[#This Row],[Purchased BikeX]]="No","Not Purchased","Purchased")</f>
        <v>Purchased</v>
      </c>
    </row>
    <row r="521" spans="1:17" x14ac:dyDescent="0.3">
      <c r="A521">
        <v>15740</v>
      </c>
      <c r="B521" t="s">
        <v>30</v>
      </c>
      <c r="C521" t="str">
        <f t="shared" si="16"/>
        <v>Married</v>
      </c>
      <c r="D521" t="s">
        <v>30</v>
      </c>
      <c r="E521" t="str">
        <f t="shared" si="17"/>
        <v>Male</v>
      </c>
      <c r="F521" s="2">
        <v>80000</v>
      </c>
      <c r="G521">
        <v>5</v>
      </c>
      <c r="H521" t="s">
        <v>11</v>
      </c>
      <c r="I521" t="s">
        <v>25</v>
      </c>
      <c r="J521" t="s">
        <v>13</v>
      </c>
      <c r="K521">
        <v>2</v>
      </c>
      <c r="L521" t="s">
        <v>23</v>
      </c>
      <c r="M521" t="s">
        <v>28</v>
      </c>
      <c r="N521" s="2">
        <v>64</v>
      </c>
      <c r="O521" t="str" cm="1">
        <f t="array" ref="O521">_xlfn.IFS(
  AND(BikePurchase[[#This Row],[Age]]&gt;=18, BikePurchase[[#This Row],[Age]]&lt;=30), "Adolescent",
  AND(BikePurchase[[#This Row],[Age]]&gt;30, BikePurchase[[#This Row],[Age]]&lt;55), "Middle Aged",
  AND(BikePurchase[[#This Row],[Age]]&gt;=55, BikePurchase[[#This Row],[Age]]&lt;90), "Old",
  TRUE, "Invalid"
)</f>
        <v>Old</v>
      </c>
      <c r="P521" t="s">
        <v>15</v>
      </c>
      <c r="Q521" t="str">
        <f>IF(BikePurchase[[#This Row],[Purchased BikeX]]="No","Not Purchased","Purchased")</f>
        <v>Not Purchased</v>
      </c>
    </row>
    <row r="522" spans="1:17" x14ac:dyDescent="0.3">
      <c r="A522">
        <v>27638</v>
      </c>
      <c r="B522" t="s">
        <v>31</v>
      </c>
      <c r="C522" t="str">
        <f t="shared" si="16"/>
        <v>Single</v>
      </c>
      <c r="D522" t="s">
        <v>30</v>
      </c>
      <c r="E522" t="str">
        <f t="shared" si="17"/>
        <v>Male</v>
      </c>
      <c r="F522" s="2">
        <v>100000</v>
      </c>
      <c r="G522">
        <v>1</v>
      </c>
      <c r="H522" t="s">
        <v>16</v>
      </c>
      <c r="I522" t="s">
        <v>18</v>
      </c>
      <c r="J522" t="s">
        <v>15</v>
      </c>
      <c r="K522">
        <v>3</v>
      </c>
      <c r="L522" t="s">
        <v>23</v>
      </c>
      <c r="M522" t="s">
        <v>28</v>
      </c>
      <c r="N522" s="2">
        <v>44</v>
      </c>
      <c r="O522" t="str" cm="1">
        <f t="array" ref="O522">_xlfn.IFS(
  AND(BikePurchase[[#This Row],[Age]]&gt;=18, BikePurchase[[#This Row],[Age]]&lt;=30), "Adolescent",
  AND(BikePurchase[[#This Row],[Age]]&gt;30, BikePurchase[[#This Row],[Age]]&lt;55), "Middle Aged",
  AND(BikePurchase[[#This Row],[Age]]&gt;=55, BikePurchase[[#This Row],[Age]]&lt;90), "Old",
  TRUE, "Invalid"
)</f>
        <v>Middle Aged</v>
      </c>
      <c r="P522" t="s">
        <v>15</v>
      </c>
      <c r="Q522" t="str">
        <f>IF(BikePurchase[[#This Row],[Purchased BikeX]]="No","Not Purchased","Purchased")</f>
        <v>Not Purchased</v>
      </c>
    </row>
    <row r="523" spans="1:17" x14ac:dyDescent="0.3">
      <c r="A523">
        <v>18976</v>
      </c>
      <c r="B523" t="s">
        <v>31</v>
      </c>
      <c r="C523" t="str">
        <f t="shared" si="16"/>
        <v>Single</v>
      </c>
      <c r="D523" t="s">
        <v>30</v>
      </c>
      <c r="E523" t="str">
        <f t="shared" si="17"/>
        <v>Male</v>
      </c>
      <c r="F523" s="2">
        <v>40000</v>
      </c>
      <c r="G523">
        <v>4</v>
      </c>
      <c r="H523" t="s">
        <v>24</v>
      </c>
      <c r="I523" t="s">
        <v>18</v>
      </c>
      <c r="J523" t="s">
        <v>13</v>
      </c>
      <c r="K523">
        <v>2</v>
      </c>
      <c r="L523" t="s">
        <v>48</v>
      </c>
      <c r="M523" t="s">
        <v>28</v>
      </c>
      <c r="N523" s="2">
        <v>62</v>
      </c>
      <c r="O523" t="str" cm="1">
        <f t="array" ref="O523">_xlfn.IFS(
  AND(BikePurchase[[#This Row],[Age]]&gt;=18, BikePurchase[[#This Row],[Age]]&lt;=30), "Adolescent",
  AND(BikePurchase[[#This Row],[Age]]&gt;30, BikePurchase[[#This Row],[Age]]&lt;55), "Middle Aged",
  AND(BikePurchase[[#This Row],[Age]]&gt;=55, BikePurchase[[#This Row],[Age]]&lt;90), "Old",
  TRUE, "Invalid"
)</f>
        <v>Old</v>
      </c>
      <c r="P523" t="s">
        <v>13</v>
      </c>
      <c r="Q523" t="str">
        <f>IF(BikePurchase[[#This Row],[Purchased BikeX]]="No","Not Purchased","Purchased")</f>
        <v>Purchased</v>
      </c>
    </row>
    <row r="524" spans="1:17" x14ac:dyDescent="0.3">
      <c r="A524">
        <v>19413</v>
      </c>
      <c r="B524" t="s">
        <v>31</v>
      </c>
      <c r="C524" t="str">
        <f t="shared" si="16"/>
        <v>Single</v>
      </c>
      <c r="D524" t="s">
        <v>30</v>
      </c>
      <c r="E524" t="str">
        <f t="shared" si="17"/>
        <v>Male</v>
      </c>
      <c r="F524" s="2">
        <v>60000</v>
      </c>
      <c r="G524">
        <v>3</v>
      </c>
      <c r="H524" t="s">
        <v>11</v>
      </c>
      <c r="I524" t="s">
        <v>18</v>
      </c>
      <c r="J524" t="s">
        <v>15</v>
      </c>
      <c r="K524">
        <v>1</v>
      </c>
      <c r="L524" t="s">
        <v>35</v>
      </c>
      <c r="M524" t="s">
        <v>28</v>
      </c>
      <c r="N524" s="2">
        <v>47</v>
      </c>
      <c r="O524" t="str" cm="1">
        <f t="array" ref="O524">_xlfn.IFS(
  AND(BikePurchase[[#This Row],[Age]]&gt;=18, BikePurchase[[#This Row],[Age]]&lt;=30), "Adolescent",
  AND(BikePurchase[[#This Row],[Age]]&gt;30, BikePurchase[[#This Row],[Age]]&lt;55), "Middle Aged",
  AND(BikePurchase[[#This Row],[Age]]&gt;=55, BikePurchase[[#This Row],[Age]]&lt;90), "Old",
  TRUE, "Invalid"
)</f>
        <v>Middle Aged</v>
      </c>
      <c r="P524" t="s">
        <v>13</v>
      </c>
      <c r="Q524" t="str">
        <f>IF(BikePurchase[[#This Row],[Purchased BikeX]]="No","Not Purchased","Purchased")</f>
        <v>Purchased</v>
      </c>
    </row>
    <row r="525" spans="1:17" x14ac:dyDescent="0.3">
      <c r="A525">
        <v>13283</v>
      </c>
      <c r="B525" t="s">
        <v>30</v>
      </c>
      <c r="C525" t="str">
        <f t="shared" si="16"/>
        <v>Married</v>
      </c>
      <c r="D525" t="s">
        <v>30</v>
      </c>
      <c r="E525" t="str">
        <f t="shared" si="17"/>
        <v>Male</v>
      </c>
      <c r="F525" s="2">
        <v>80000</v>
      </c>
      <c r="G525">
        <v>3</v>
      </c>
      <c r="H525" t="s">
        <v>16</v>
      </c>
      <c r="I525" t="s">
        <v>18</v>
      </c>
      <c r="J525" t="s">
        <v>15</v>
      </c>
      <c r="K525">
        <v>2</v>
      </c>
      <c r="L525" t="s">
        <v>35</v>
      </c>
      <c r="M525" t="s">
        <v>28</v>
      </c>
      <c r="N525" s="2">
        <v>49</v>
      </c>
      <c r="O525" t="str" cm="1">
        <f t="array" ref="O525">_xlfn.IFS(
  AND(BikePurchase[[#This Row],[Age]]&gt;=18, BikePurchase[[#This Row],[Age]]&lt;=30), "Adolescent",
  AND(BikePurchase[[#This Row],[Age]]&gt;30, BikePurchase[[#This Row],[Age]]&lt;55), "Middle Aged",
  AND(BikePurchase[[#This Row],[Age]]&gt;=55, BikePurchase[[#This Row],[Age]]&lt;90), "Old",
  TRUE, "Invalid"
)</f>
        <v>Middle Aged</v>
      </c>
      <c r="P525" t="s">
        <v>13</v>
      </c>
      <c r="Q525" t="str">
        <f>IF(BikePurchase[[#This Row],[Purchased BikeX]]="No","Not Purchased","Purchased")</f>
        <v>Purchased</v>
      </c>
    </row>
    <row r="526" spans="1:17" x14ac:dyDescent="0.3">
      <c r="A526">
        <v>17471</v>
      </c>
      <c r="B526" t="s">
        <v>31</v>
      </c>
      <c r="C526" t="str">
        <f t="shared" si="16"/>
        <v>Single</v>
      </c>
      <c r="D526" t="s">
        <v>29</v>
      </c>
      <c r="E526" t="str">
        <f t="shared" si="17"/>
        <v>Female</v>
      </c>
      <c r="F526" s="2">
        <v>80000</v>
      </c>
      <c r="G526">
        <v>4</v>
      </c>
      <c r="H526" t="s">
        <v>27</v>
      </c>
      <c r="I526" t="s">
        <v>25</v>
      </c>
      <c r="J526" t="s">
        <v>13</v>
      </c>
      <c r="K526">
        <v>2</v>
      </c>
      <c r="L526" t="s">
        <v>20</v>
      </c>
      <c r="M526" t="s">
        <v>28</v>
      </c>
      <c r="N526" s="2">
        <v>67</v>
      </c>
      <c r="O526" t="str" cm="1">
        <f t="array" ref="O526">_xlfn.IFS(
  AND(BikePurchase[[#This Row],[Age]]&gt;=18, BikePurchase[[#This Row],[Age]]&lt;=30), "Adolescent",
  AND(BikePurchase[[#This Row],[Age]]&gt;30, BikePurchase[[#This Row],[Age]]&lt;55), "Middle Aged",
  AND(BikePurchase[[#This Row],[Age]]&gt;=55, BikePurchase[[#This Row],[Age]]&lt;90), "Old",
  TRUE, "Invalid"
)</f>
        <v>Old</v>
      </c>
      <c r="P526" t="s">
        <v>15</v>
      </c>
      <c r="Q526" t="str">
        <f>IF(BikePurchase[[#This Row],[Purchased BikeX]]="No","Not Purchased","Purchased")</f>
        <v>Not Purchased</v>
      </c>
    </row>
    <row r="527" spans="1:17" x14ac:dyDescent="0.3">
      <c r="A527">
        <v>16791</v>
      </c>
      <c r="B527" t="s">
        <v>31</v>
      </c>
      <c r="C527" t="str">
        <f t="shared" si="16"/>
        <v>Single</v>
      </c>
      <c r="D527" t="s">
        <v>30</v>
      </c>
      <c r="E527" t="str">
        <f t="shared" si="17"/>
        <v>Male</v>
      </c>
      <c r="F527" s="2">
        <v>60000</v>
      </c>
      <c r="G527">
        <v>5</v>
      </c>
      <c r="H527" t="s">
        <v>11</v>
      </c>
      <c r="I527" t="s">
        <v>25</v>
      </c>
      <c r="J527" t="s">
        <v>13</v>
      </c>
      <c r="K527">
        <v>3</v>
      </c>
      <c r="L527" t="s">
        <v>48</v>
      </c>
      <c r="M527" t="s">
        <v>28</v>
      </c>
      <c r="N527" s="2">
        <v>59</v>
      </c>
      <c r="O527" t="str" cm="1">
        <f t="array" ref="O527">_xlfn.IFS(
  AND(BikePurchase[[#This Row],[Age]]&gt;=18, BikePurchase[[#This Row],[Age]]&lt;=30), "Adolescent",
  AND(BikePurchase[[#This Row],[Age]]&gt;30, BikePurchase[[#This Row],[Age]]&lt;55), "Middle Aged",
  AND(BikePurchase[[#This Row],[Age]]&gt;=55, BikePurchase[[#This Row],[Age]]&lt;90), "Old",
  TRUE, "Invalid"
)</f>
        <v>Old</v>
      </c>
      <c r="P527" t="s">
        <v>13</v>
      </c>
      <c r="Q527" t="str">
        <f>IF(BikePurchase[[#This Row],[Purchased BikeX]]="No","Not Purchased","Purchased")</f>
        <v>Purchased</v>
      </c>
    </row>
    <row r="528" spans="1:17" x14ac:dyDescent="0.3">
      <c r="A528">
        <v>15382</v>
      </c>
      <c r="B528" t="s">
        <v>30</v>
      </c>
      <c r="C528" t="str">
        <f t="shared" si="16"/>
        <v>Married</v>
      </c>
      <c r="D528" t="s">
        <v>29</v>
      </c>
      <c r="E528" t="str">
        <f t="shared" si="17"/>
        <v>Female</v>
      </c>
      <c r="F528" s="2">
        <v>110000</v>
      </c>
      <c r="G528">
        <v>1</v>
      </c>
      <c r="H528" t="s">
        <v>11</v>
      </c>
      <c r="I528" t="s">
        <v>25</v>
      </c>
      <c r="J528" t="s">
        <v>13</v>
      </c>
      <c r="K528">
        <v>2</v>
      </c>
      <c r="L528" t="s">
        <v>23</v>
      </c>
      <c r="M528" t="s">
        <v>28</v>
      </c>
      <c r="N528" s="2">
        <v>44</v>
      </c>
      <c r="O528" t="str" cm="1">
        <f t="array" ref="O528">_xlfn.IFS(
  AND(BikePurchase[[#This Row],[Age]]&gt;=18, BikePurchase[[#This Row],[Age]]&lt;=30), "Adolescent",
  AND(BikePurchase[[#This Row],[Age]]&gt;30, BikePurchase[[#This Row],[Age]]&lt;55), "Middle Aged",
  AND(BikePurchase[[#This Row],[Age]]&gt;=55, BikePurchase[[#This Row],[Age]]&lt;90), "Old",
  TRUE, "Invalid"
)</f>
        <v>Middle Aged</v>
      </c>
      <c r="P528" t="s">
        <v>15</v>
      </c>
      <c r="Q528" t="str">
        <f>IF(BikePurchase[[#This Row],[Purchased BikeX]]="No","Not Purchased","Purchased")</f>
        <v>Not Purchased</v>
      </c>
    </row>
    <row r="529" spans="1:17" x14ac:dyDescent="0.3">
      <c r="A529">
        <v>11641</v>
      </c>
      <c r="B529" t="s">
        <v>30</v>
      </c>
      <c r="C529" t="str">
        <f t="shared" si="16"/>
        <v>Married</v>
      </c>
      <c r="D529" t="s">
        <v>30</v>
      </c>
      <c r="E529" t="str">
        <f t="shared" si="17"/>
        <v>Male</v>
      </c>
      <c r="F529" s="2">
        <v>50000</v>
      </c>
      <c r="G529">
        <v>1</v>
      </c>
      <c r="H529" t="s">
        <v>11</v>
      </c>
      <c r="I529" t="s">
        <v>12</v>
      </c>
      <c r="J529" t="s">
        <v>13</v>
      </c>
      <c r="K529">
        <v>0</v>
      </c>
      <c r="L529" t="s">
        <v>35</v>
      </c>
      <c r="M529" t="s">
        <v>28</v>
      </c>
      <c r="N529" s="2">
        <v>36</v>
      </c>
      <c r="O529" t="str" cm="1">
        <f t="array" ref="O529">_xlfn.IFS(
  AND(BikePurchase[[#This Row],[Age]]&gt;=18, BikePurchase[[#This Row],[Age]]&lt;=30), "Adolescent",
  AND(BikePurchase[[#This Row],[Age]]&gt;30, BikePurchase[[#This Row],[Age]]&lt;55), "Middle Aged",
  AND(BikePurchase[[#This Row],[Age]]&gt;=55, BikePurchase[[#This Row],[Age]]&lt;90), "Old",
  TRUE, "Invalid"
)</f>
        <v>Middle Aged</v>
      </c>
      <c r="P529" t="s">
        <v>15</v>
      </c>
      <c r="Q529" t="str">
        <f>IF(BikePurchase[[#This Row],[Purchased BikeX]]="No","Not Purchased","Purchased")</f>
        <v>Not Purchased</v>
      </c>
    </row>
    <row r="530" spans="1:17" x14ac:dyDescent="0.3">
      <c r="A530">
        <v>11935</v>
      </c>
      <c r="B530" t="s">
        <v>31</v>
      </c>
      <c r="C530" t="str">
        <f t="shared" si="16"/>
        <v>Single</v>
      </c>
      <c r="D530" t="s">
        <v>29</v>
      </c>
      <c r="E530" t="str">
        <f t="shared" si="17"/>
        <v>Female</v>
      </c>
      <c r="F530" s="2">
        <v>30000</v>
      </c>
      <c r="G530">
        <v>0</v>
      </c>
      <c r="H530" t="s">
        <v>16</v>
      </c>
      <c r="I530" t="s">
        <v>12</v>
      </c>
      <c r="J530" t="s">
        <v>13</v>
      </c>
      <c r="K530">
        <v>1</v>
      </c>
      <c r="L530" t="s">
        <v>20</v>
      </c>
      <c r="M530" t="s">
        <v>28</v>
      </c>
      <c r="N530" s="2">
        <v>28</v>
      </c>
      <c r="O530" t="str" cm="1">
        <f t="array" ref="O530">_xlfn.IFS(
  AND(BikePurchase[[#This Row],[Age]]&gt;=18, BikePurchase[[#This Row],[Age]]&lt;=30), "Adolescent",
  AND(BikePurchase[[#This Row],[Age]]&gt;30, BikePurchase[[#This Row],[Age]]&lt;55), "Middle Aged",
  AND(BikePurchase[[#This Row],[Age]]&gt;=55, BikePurchase[[#This Row],[Age]]&lt;90), "Old",
  TRUE, "Invalid"
)</f>
        <v>Adolescent</v>
      </c>
      <c r="P530" t="s">
        <v>15</v>
      </c>
      <c r="Q530" t="str">
        <f>IF(BikePurchase[[#This Row],[Purchased BikeX]]="No","Not Purchased","Purchased")</f>
        <v>Not Purchased</v>
      </c>
    </row>
    <row r="531" spans="1:17" x14ac:dyDescent="0.3">
      <c r="A531">
        <v>13233</v>
      </c>
      <c r="B531" t="s">
        <v>30</v>
      </c>
      <c r="C531" t="str">
        <f t="shared" si="16"/>
        <v>Married</v>
      </c>
      <c r="D531" t="s">
        <v>30</v>
      </c>
      <c r="E531" t="str">
        <f t="shared" si="17"/>
        <v>Male</v>
      </c>
      <c r="F531" s="2">
        <v>60000</v>
      </c>
      <c r="G531">
        <v>2</v>
      </c>
      <c r="H531" t="s">
        <v>16</v>
      </c>
      <c r="I531" t="s">
        <v>18</v>
      </c>
      <c r="J531" t="s">
        <v>13</v>
      </c>
      <c r="K531">
        <v>1</v>
      </c>
      <c r="L531" t="s">
        <v>48</v>
      </c>
      <c r="M531" t="s">
        <v>28</v>
      </c>
      <c r="N531" s="2">
        <v>57</v>
      </c>
      <c r="O531" t="str" cm="1">
        <f t="array" ref="O531">_xlfn.IFS(
  AND(BikePurchase[[#This Row],[Age]]&gt;=18, BikePurchase[[#This Row],[Age]]&lt;=30), "Adolescent",
  AND(BikePurchase[[#This Row],[Age]]&gt;30, BikePurchase[[#This Row],[Age]]&lt;55), "Middle Aged",
  AND(BikePurchase[[#This Row],[Age]]&gt;=55, BikePurchase[[#This Row],[Age]]&lt;90), "Old",
  TRUE, "Invalid"
)</f>
        <v>Old</v>
      </c>
      <c r="P531" t="s">
        <v>13</v>
      </c>
      <c r="Q531" t="str">
        <f>IF(BikePurchase[[#This Row],[Purchased BikeX]]="No","Not Purchased","Purchased")</f>
        <v>Purchased</v>
      </c>
    </row>
    <row r="532" spans="1:17" x14ac:dyDescent="0.3">
      <c r="A532">
        <v>25909</v>
      </c>
      <c r="B532" t="s">
        <v>30</v>
      </c>
      <c r="C532" t="str">
        <f t="shared" si="16"/>
        <v>Married</v>
      </c>
      <c r="D532" t="s">
        <v>30</v>
      </c>
      <c r="E532" t="str">
        <f t="shared" si="17"/>
        <v>Male</v>
      </c>
      <c r="F532" s="2">
        <v>60000</v>
      </c>
      <c r="G532">
        <v>0</v>
      </c>
      <c r="H532" t="s">
        <v>16</v>
      </c>
      <c r="I532" t="s">
        <v>12</v>
      </c>
      <c r="J532" t="s">
        <v>13</v>
      </c>
      <c r="K532">
        <v>1</v>
      </c>
      <c r="L532" t="s">
        <v>20</v>
      </c>
      <c r="M532" t="s">
        <v>28</v>
      </c>
      <c r="N532" s="2">
        <v>27</v>
      </c>
      <c r="O532" t="str" cm="1">
        <f t="array" ref="O532">_xlfn.IFS(
  AND(BikePurchase[[#This Row],[Age]]&gt;=18, BikePurchase[[#This Row],[Age]]&lt;=30), "Adolescent",
  AND(BikePurchase[[#This Row],[Age]]&gt;30, BikePurchase[[#This Row],[Age]]&lt;55), "Middle Aged",
  AND(BikePurchase[[#This Row],[Age]]&gt;=55, BikePurchase[[#This Row],[Age]]&lt;90), "Old",
  TRUE, "Invalid"
)</f>
        <v>Adolescent</v>
      </c>
      <c r="P532" t="s">
        <v>13</v>
      </c>
      <c r="Q532" t="str">
        <f>IF(BikePurchase[[#This Row],[Purchased BikeX]]="No","Not Purchased","Purchased")</f>
        <v>Purchased</v>
      </c>
    </row>
    <row r="533" spans="1:17" x14ac:dyDescent="0.3">
      <c r="A533">
        <v>14092</v>
      </c>
      <c r="B533" t="s">
        <v>31</v>
      </c>
      <c r="C533" t="str">
        <f t="shared" si="16"/>
        <v>Single</v>
      </c>
      <c r="D533" t="s">
        <v>30</v>
      </c>
      <c r="E533" t="str">
        <f t="shared" si="17"/>
        <v>Male</v>
      </c>
      <c r="F533" s="2">
        <v>30000</v>
      </c>
      <c r="G533">
        <v>0</v>
      </c>
      <c r="H533" t="s">
        <v>26</v>
      </c>
      <c r="I533" t="s">
        <v>17</v>
      </c>
      <c r="J533" t="s">
        <v>13</v>
      </c>
      <c r="K533">
        <v>2</v>
      </c>
      <c r="L533" t="s">
        <v>20</v>
      </c>
      <c r="M533" t="s">
        <v>28</v>
      </c>
      <c r="N533" s="2">
        <v>28</v>
      </c>
      <c r="O533" t="str" cm="1">
        <f t="array" ref="O533">_xlfn.IFS(
  AND(BikePurchase[[#This Row],[Age]]&gt;=18, BikePurchase[[#This Row],[Age]]&lt;=30), "Adolescent",
  AND(BikePurchase[[#This Row],[Age]]&gt;30, BikePurchase[[#This Row],[Age]]&lt;55), "Middle Aged",
  AND(BikePurchase[[#This Row],[Age]]&gt;=55, BikePurchase[[#This Row],[Age]]&lt;90), "Old",
  TRUE, "Invalid"
)</f>
        <v>Adolescent</v>
      </c>
      <c r="P533" t="s">
        <v>15</v>
      </c>
      <c r="Q533" t="str">
        <f>IF(BikePurchase[[#This Row],[Purchased BikeX]]="No","Not Purchased","Purchased")</f>
        <v>Not Purchased</v>
      </c>
    </row>
    <row r="534" spans="1:17" x14ac:dyDescent="0.3">
      <c r="A534">
        <v>29143</v>
      </c>
      <c r="B534" t="s">
        <v>31</v>
      </c>
      <c r="C534" t="str">
        <f t="shared" si="16"/>
        <v>Single</v>
      </c>
      <c r="D534" t="s">
        <v>29</v>
      </c>
      <c r="E534" t="str">
        <f t="shared" si="17"/>
        <v>Female</v>
      </c>
      <c r="F534" s="2">
        <v>60000</v>
      </c>
      <c r="G534">
        <v>1</v>
      </c>
      <c r="H534" t="s">
        <v>11</v>
      </c>
      <c r="I534" t="s">
        <v>18</v>
      </c>
      <c r="J534" t="s">
        <v>15</v>
      </c>
      <c r="K534">
        <v>1</v>
      </c>
      <c r="L534" t="s">
        <v>35</v>
      </c>
      <c r="M534" t="s">
        <v>28</v>
      </c>
      <c r="N534" s="2">
        <v>44</v>
      </c>
      <c r="O534" t="str" cm="1">
        <f t="array" ref="O534">_xlfn.IFS(
  AND(BikePurchase[[#This Row],[Age]]&gt;=18, BikePurchase[[#This Row],[Age]]&lt;=30), "Adolescent",
  AND(BikePurchase[[#This Row],[Age]]&gt;30, BikePurchase[[#This Row],[Age]]&lt;55), "Middle Aged",
  AND(BikePurchase[[#This Row],[Age]]&gt;=55, BikePurchase[[#This Row],[Age]]&lt;90), "Old",
  TRUE, "Invalid"
)</f>
        <v>Middle Aged</v>
      </c>
      <c r="P534" t="s">
        <v>13</v>
      </c>
      <c r="Q534" t="str">
        <f>IF(BikePurchase[[#This Row],[Purchased BikeX]]="No","Not Purchased","Purchased")</f>
        <v>Purchased</v>
      </c>
    </row>
    <row r="535" spans="1:17" x14ac:dyDescent="0.3">
      <c r="A535">
        <v>24941</v>
      </c>
      <c r="B535" t="s">
        <v>30</v>
      </c>
      <c r="C535" t="str">
        <f t="shared" si="16"/>
        <v>Married</v>
      </c>
      <c r="D535" t="s">
        <v>30</v>
      </c>
      <c r="E535" t="str">
        <f t="shared" si="17"/>
        <v>Male</v>
      </c>
      <c r="F535" s="2">
        <v>60000</v>
      </c>
      <c r="G535">
        <v>3</v>
      </c>
      <c r="H535" t="s">
        <v>11</v>
      </c>
      <c r="I535" t="s">
        <v>25</v>
      </c>
      <c r="J535" t="s">
        <v>13</v>
      </c>
      <c r="K535">
        <v>2</v>
      </c>
      <c r="L535" t="s">
        <v>48</v>
      </c>
      <c r="M535" t="s">
        <v>28</v>
      </c>
      <c r="N535" s="2">
        <v>66</v>
      </c>
      <c r="O535" t="str" cm="1">
        <f t="array" ref="O535">_xlfn.IFS(
  AND(BikePurchase[[#This Row],[Age]]&gt;=18, BikePurchase[[#This Row],[Age]]&lt;=30), "Adolescent",
  AND(BikePurchase[[#This Row],[Age]]&gt;30, BikePurchase[[#This Row],[Age]]&lt;55), "Middle Aged",
  AND(BikePurchase[[#This Row],[Age]]&gt;=55, BikePurchase[[#This Row],[Age]]&lt;90), "Old",
  TRUE, "Invalid"
)</f>
        <v>Old</v>
      </c>
      <c r="P535" t="s">
        <v>15</v>
      </c>
      <c r="Q535" t="str">
        <f>IF(BikePurchase[[#This Row],[Purchased BikeX]]="No","Not Purchased","Purchased")</f>
        <v>Not Purchased</v>
      </c>
    </row>
    <row r="536" spans="1:17" x14ac:dyDescent="0.3">
      <c r="A536">
        <v>24637</v>
      </c>
      <c r="B536" t="s">
        <v>30</v>
      </c>
      <c r="C536" t="str">
        <f t="shared" si="16"/>
        <v>Married</v>
      </c>
      <c r="D536" t="s">
        <v>30</v>
      </c>
      <c r="E536" t="str">
        <f t="shared" si="17"/>
        <v>Male</v>
      </c>
      <c r="F536" s="2">
        <v>40000</v>
      </c>
      <c r="G536">
        <v>4</v>
      </c>
      <c r="H536" t="s">
        <v>24</v>
      </c>
      <c r="I536" t="s">
        <v>18</v>
      </c>
      <c r="J536" t="s">
        <v>13</v>
      </c>
      <c r="K536">
        <v>2</v>
      </c>
      <c r="L536" t="s">
        <v>48</v>
      </c>
      <c r="M536" t="s">
        <v>28</v>
      </c>
      <c r="N536" s="2">
        <v>64</v>
      </c>
      <c r="O536" t="str" cm="1">
        <f t="array" ref="O536">_xlfn.IFS(
  AND(BikePurchase[[#This Row],[Age]]&gt;=18, BikePurchase[[#This Row],[Age]]&lt;=30), "Adolescent",
  AND(BikePurchase[[#This Row],[Age]]&gt;30, BikePurchase[[#This Row],[Age]]&lt;55), "Middle Aged",
  AND(BikePurchase[[#This Row],[Age]]&gt;=55, BikePurchase[[#This Row],[Age]]&lt;90), "Old",
  TRUE, "Invalid"
)</f>
        <v>Old</v>
      </c>
      <c r="P536" t="s">
        <v>15</v>
      </c>
      <c r="Q536" t="str">
        <f>IF(BikePurchase[[#This Row],[Purchased BikeX]]="No","Not Purchased","Purchased")</f>
        <v>Not Purchased</v>
      </c>
    </row>
    <row r="537" spans="1:17" x14ac:dyDescent="0.3">
      <c r="A537">
        <v>23893</v>
      </c>
      <c r="B537" t="s">
        <v>30</v>
      </c>
      <c r="C537" t="str">
        <f t="shared" si="16"/>
        <v>Married</v>
      </c>
      <c r="D537" t="s">
        <v>30</v>
      </c>
      <c r="E537" t="str">
        <f t="shared" si="17"/>
        <v>Male</v>
      </c>
      <c r="F537" s="2">
        <v>50000</v>
      </c>
      <c r="G537">
        <v>3</v>
      </c>
      <c r="H537" t="s">
        <v>11</v>
      </c>
      <c r="I537" t="s">
        <v>12</v>
      </c>
      <c r="J537" t="s">
        <v>13</v>
      </c>
      <c r="K537">
        <v>3</v>
      </c>
      <c r="L537" t="s">
        <v>48</v>
      </c>
      <c r="M537" t="s">
        <v>28</v>
      </c>
      <c r="N537" s="2">
        <v>41</v>
      </c>
      <c r="O537" t="str" cm="1">
        <f t="array" ref="O537">_xlfn.IFS(
  AND(BikePurchase[[#This Row],[Age]]&gt;=18, BikePurchase[[#This Row],[Age]]&lt;=30), "Adolescent",
  AND(BikePurchase[[#This Row],[Age]]&gt;30, BikePurchase[[#This Row],[Age]]&lt;55), "Middle Aged",
  AND(BikePurchase[[#This Row],[Age]]&gt;=55, BikePurchase[[#This Row],[Age]]&lt;90), "Old",
  TRUE, "Invalid"
)</f>
        <v>Middle Aged</v>
      </c>
      <c r="P537" t="s">
        <v>15</v>
      </c>
      <c r="Q537" t="str">
        <f>IF(BikePurchase[[#This Row],[Purchased BikeX]]="No","Not Purchased","Purchased")</f>
        <v>Not Purchased</v>
      </c>
    </row>
    <row r="538" spans="1:17" x14ac:dyDescent="0.3">
      <c r="A538">
        <v>13907</v>
      </c>
      <c r="B538" t="s">
        <v>31</v>
      </c>
      <c r="C538" t="str">
        <f t="shared" si="16"/>
        <v>Single</v>
      </c>
      <c r="D538" t="s">
        <v>29</v>
      </c>
      <c r="E538" t="str">
        <f t="shared" si="17"/>
        <v>Female</v>
      </c>
      <c r="F538" s="2">
        <v>80000</v>
      </c>
      <c r="G538">
        <v>3</v>
      </c>
      <c r="H538" t="s">
        <v>11</v>
      </c>
      <c r="I538" t="s">
        <v>12</v>
      </c>
      <c r="J538" t="s">
        <v>13</v>
      </c>
      <c r="K538">
        <v>1</v>
      </c>
      <c r="L538" t="s">
        <v>35</v>
      </c>
      <c r="M538" t="s">
        <v>28</v>
      </c>
      <c r="N538" s="2">
        <v>41</v>
      </c>
      <c r="O538" t="str" cm="1">
        <f t="array" ref="O538">_xlfn.IFS(
  AND(BikePurchase[[#This Row],[Age]]&gt;=18, BikePurchase[[#This Row],[Age]]&lt;=30), "Adolescent",
  AND(BikePurchase[[#This Row],[Age]]&gt;30, BikePurchase[[#This Row],[Age]]&lt;55), "Middle Aged",
  AND(BikePurchase[[#This Row],[Age]]&gt;=55, BikePurchase[[#This Row],[Age]]&lt;90), "Old",
  TRUE, "Invalid"
)</f>
        <v>Middle Aged</v>
      </c>
      <c r="P538" t="s">
        <v>13</v>
      </c>
      <c r="Q538" t="str">
        <f>IF(BikePurchase[[#This Row],[Purchased BikeX]]="No","Not Purchased","Purchased")</f>
        <v>Purchased</v>
      </c>
    </row>
    <row r="539" spans="1:17" x14ac:dyDescent="0.3">
      <c r="A539">
        <v>14900</v>
      </c>
      <c r="B539" t="s">
        <v>30</v>
      </c>
      <c r="C539" t="str">
        <f t="shared" si="16"/>
        <v>Married</v>
      </c>
      <c r="D539" t="s">
        <v>29</v>
      </c>
      <c r="E539" t="str">
        <f t="shared" si="17"/>
        <v>Female</v>
      </c>
      <c r="F539" s="2">
        <v>40000</v>
      </c>
      <c r="G539">
        <v>1</v>
      </c>
      <c r="H539" t="s">
        <v>16</v>
      </c>
      <c r="I539" t="s">
        <v>17</v>
      </c>
      <c r="J539" t="s">
        <v>13</v>
      </c>
      <c r="K539">
        <v>1</v>
      </c>
      <c r="L539" t="s">
        <v>23</v>
      </c>
      <c r="M539" t="s">
        <v>28</v>
      </c>
      <c r="N539" s="2">
        <v>49</v>
      </c>
      <c r="O539" t="str" cm="1">
        <f t="array" ref="O539">_xlfn.IFS(
  AND(BikePurchase[[#This Row],[Age]]&gt;=18, BikePurchase[[#This Row],[Age]]&lt;=30), "Adolescent",
  AND(BikePurchase[[#This Row],[Age]]&gt;30, BikePurchase[[#This Row],[Age]]&lt;55), "Middle Aged",
  AND(BikePurchase[[#This Row],[Age]]&gt;=55, BikePurchase[[#This Row],[Age]]&lt;90), "Old",
  TRUE, "Invalid"
)</f>
        <v>Middle Aged</v>
      </c>
      <c r="P539" t="s">
        <v>13</v>
      </c>
      <c r="Q539" t="str">
        <f>IF(BikePurchase[[#This Row],[Purchased BikeX]]="No","Not Purchased","Purchased")</f>
        <v>Purchased</v>
      </c>
    </row>
    <row r="540" spans="1:17" x14ac:dyDescent="0.3">
      <c r="A540">
        <v>11262</v>
      </c>
      <c r="B540" t="s">
        <v>30</v>
      </c>
      <c r="C540" t="str">
        <f t="shared" si="16"/>
        <v>Married</v>
      </c>
      <c r="D540" t="s">
        <v>29</v>
      </c>
      <c r="E540" t="str">
        <f t="shared" si="17"/>
        <v>Female</v>
      </c>
      <c r="F540" s="2">
        <v>80000</v>
      </c>
      <c r="G540">
        <v>4</v>
      </c>
      <c r="H540" t="s">
        <v>11</v>
      </c>
      <c r="I540" t="s">
        <v>25</v>
      </c>
      <c r="J540" t="s">
        <v>13</v>
      </c>
      <c r="K540">
        <v>0</v>
      </c>
      <c r="L540" t="s">
        <v>35</v>
      </c>
      <c r="M540" t="s">
        <v>28</v>
      </c>
      <c r="N540" s="2">
        <v>42</v>
      </c>
      <c r="O540" t="str" cm="1">
        <f t="array" ref="O540">_xlfn.IFS(
  AND(BikePurchase[[#This Row],[Age]]&gt;=18, BikePurchase[[#This Row],[Age]]&lt;=30), "Adolescent",
  AND(BikePurchase[[#This Row],[Age]]&gt;30, BikePurchase[[#This Row],[Age]]&lt;55), "Middle Aged",
  AND(BikePurchase[[#This Row],[Age]]&gt;=55, BikePurchase[[#This Row],[Age]]&lt;90), "Old",
  TRUE, "Invalid"
)</f>
        <v>Middle Aged</v>
      </c>
      <c r="P540" t="s">
        <v>15</v>
      </c>
      <c r="Q540" t="str">
        <f>IF(BikePurchase[[#This Row],[Purchased BikeX]]="No","Not Purchased","Purchased")</f>
        <v>Not Purchased</v>
      </c>
    </row>
    <row r="541" spans="1:17" x14ac:dyDescent="0.3">
      <c r="A541">
        <v>22294</v>
      </c>
      <c r="B541" t="s">
        <v>31</v>
      </c>
      <c r="C541" t="str">
        <f t="shared" si="16"/>
        <v>Single</v>
      </c>
      <c r="D541" t="s">
        <v>29</v>
      </c>
      <c r="E541" t="str">
        <f t="shared" si="17"/>
        <v>Female</v>
      </c>
      <c r="F541" s="2">
        <v>70000</v>
      </c>
      <c r="G541">
        <v>0</v>
      </c>
      <c r="H541" t="s">
        <v>11</v>
      </c>
      <c r="I541" t="s">
        <v>18</v>
      </c>
      <c r="J541" t="s">
        <v>15</v>
      </c>
      <c r="K541">
        <v>1</v>
      </c>
      <c r="L541" t="s">
        <v>19</v>
      </c>
      <c r="M541" t="s">
        <v>28</v>
      </c>
      <c r="N541" s="2">
        <v>37</v>
      </c>
      <c r="O541" t="str" cm="1">
        <f t="array" ref="O541">_xlfn.IFS(
  AND(BikePurchase[[#This Row],[Age]]&gt;=18, BikePurchase[[#This Row],[Age]]&lt;=30), "Adolescent",
  AND(BikePurchase[[#This Row],[Age]]&gt;30, BikePurchase[[#This Row],[Age]]&lt;55), "Middle Aged",
  AND(BikePurchase[[#This Row],[Age]]&gt;=55, BikePurchase[[#This Row],[Age]]&lt;90), "Old",
  TRUE, "Invalid"
)</f>
        <v>Middle Aged</v>
      </c>
      <c r="P541" t="s">
        <v>13</v>
      </c>
      <c r="Q541" t="str">
        <f>IF(BikePurchase[[#This Row],[Purchased BikeX]]="No","Not Purchased","Purchased")</f>
        <v>Purchased</v>
      </c>
    </row>
    <row r="542" spans="1:17" x14ac:dyDescent="0.3">
      <c r="A542">
        <v>12195</v>
      </c>
      <c r="B542" t="s">
        <v>31</v>
      </c>
      <c r="C542" t="str">
        <f t="shared" si="16"/>
        <v>Single</v>
      </c>
      <c r="D542" t="s">
        <v>29</v>
      </c>
      <c r="E542" t="str">
        <f t="shared" si="17"/>
        <v>Female</v>
      </c>
      <c r="F542" s="2">
        <v>70000</v>
      </c>
      <c r="G542">
        <v>3</v>
      </c>
      <c r="H542" t="s">
        <v>27</v>
      </c>
      <c r="I542" t="s">
        <v>25</v>
      </c>
      <c r="J542" t="s">
        <v>13</v>
      </c>
      <c r="K542">
        <v>2</v>
      </c>
      <c r="L542" t="s">
        <v>23</v>
      </c>
      <c r="M542" t="s">
        <v>28</v>
      </c>
      <c r="N542" s="2">
        <v>52</v>
      </c>
      <c r="O542" t="str" cm="1">
        <f t="array" ref="O542">_xlfn.IFS(
  AND(BikePurchase[[#This Row],[Age]]&gt;=18, BikePurchase[[#This Row],[Age]]&lt;=30), "Adolescent",
  AND(BikePurchase[[#This Row],[Age]]&gt;30, BikePurchase[[#This Row],[Age]]&lt;55), "Middle Aged",
  AND(BikePurchase[[#This Row],[Age]]&gt;=55, BikePurchase[[#This Row],[Age]]&lt;90), "Old",
  TRUE, "Invalid"
)</f>
        <v>Middle Aged</v>
      </c>
      <c r="P542" t="s">
        <v>15</v>
      </c>
      <c r="Q542" t="str">
        <f>IF(BikePurchase[[#This Row],[Purchased BikeX]]="No","Not Purchased","Purchased")</f>
        <v>Not Purchased</v>
      </c>
    </row>
    <row r="543" spans="1:17" x14ac:dyDescent="0.3">
      <c r="A543">
        <v>25375</v>
      </c>
      <c r="B543" t="s">
        <v>30</v>
      </c>
      <c r="C543" t="str">
        <f t="shared" si="16"/>
        <v>Married</v>
      </c>
      <c r="D543" t="s">
        <v>30</v>
      </c>
      <c r="E543" t="str">
        <f t="shared" si="17"/>
        <v>Male</v>
      </c>
      <c r="F543" s="2">
        <v>50000</v>
      </c>
      <c r="G543">
        <v>1</v>
      </c>
      <c r="H543" t="s">
        <v>27</v>
      </c>
      <c r="I543" t="s">
        <v>12</v>
      </c>
      <c r="J543" t="s">
        <v>13</v>
      </c>
      <c r="K543">
        <v>0</v>
      </c>
      <c r="L543" t="s">
        <v>23</v>
      </c>
      <c r="M543" t="s">
        <v>28</v>
      </c>
      <c r="N543" s="2">
        <v>34</v>
      </c>
      <c r="O543" t="str" cm="1">
        <f t="array" ref="O543">_xlfn.IFS(
  AND(BikePurchase[[#This Row],[Age]]&gt;=18, BikePurchase[[#This Row],[Age]]&lt;=30), "Adolescent",
  AND(BikePurchase[[#This Row],[Age]]&gt;30, BikePurchase[[#This Row],[Age]]&lt;55), "Middle Aged",
  AND(BikePurchase[[#This Row],[Age]]&gt;=55, BikePurchase[[#This Row],[Age]]&lt;90), "Old",
  TRUE, "Invalid"
)</f>
        <v>Middle Aged</v>
      </c>
      <c r="P543" t="s">
        <v>15</v>
      </c>
      <c r="Q543" t="str">
        <f>IF(BikePurchase[[#This Row],[Purchased BikeX]]="No","Not Purchased","Purchased")</f>
        <v>Not Purchased</v>
      </c>
    </row>
    <row r="544" spans="1:17" x14ac:dyDescent="0.3">
      <c r="A544">
        <v>11143</v>
      </c>
      <c r="B544" t="s">
        <v>30</v>
      </c>
      <c r="C544" t="str">
        <f t="shared" si="16"/>
        <v>Married</v>
      </c>
      <c r="D544" t="s">
        <v>30</v>
      </c>
      <c r="E544" t="str">
        <f t="shared" si="17"/>
        <v>Male</v>
      </c>
      <c r="F544" s="2">
        <v>40000</v>
      </c>
      <c r="G544">
        <v>0</v>
      </c>
      <c r="H544" t="s">
        <v>24</v>
      </c>
      <c r="I544" t="s">
        <v>12</v>
      </c>
      <c r="J544" t="s">
        <v>13</v>
      </c>
      <c r="K544">
        <v>2</v>
      </c>
      <c r="L544" t="s">
        <v>20</v>
      </c>
      <c r="M544" t="s">
        <v>28</v>
      </c>
      <c r="N544" s="2">
        <v>29</v>
      </c>
      <c r="O544" t="str" cm="1">
        <f t="array" ref="O544">_xlfn.IFS(
  AND(BikePurchase[[#This Row],[Age]]&gt;=18, BikePurchase[[#This Row],[Age]]&lt;=30), "Adolescent",
  AND(BikePurchase[[#This Row],[Age]]&gt;30, BikePurchase[[#This Row],[Age]]&lt;55), "Middle Aged",
  AND(BikePurchase[[#This Row],[Age]]&gt;=55, BikePurchase[[#This Row],[Age]]&lt;90), "Old",
  TRUE, "Invalid"
)</f>
        <v>Adolescent</v>
      </c>
      <c r="P544" t="s">
        <v>15</v>
      </c>
      <c r="Q544" t="str">
        <f>IF(BikePurchase[[#This Row],[Purchased BikeX]]="No","Not Purchased","Purchased")</f>
        <v>Not Purchased</v>
      </c>
    </row>
    <row r="545" spans="1:17" x14ac:dyDescent="0.3">
      <c r="A545">
        <v>25898</v>
      </c>
      <c r="B545" t="s">
        <v>30</v>
      </c>
      <c r="C545" t="str">
        <f t="shared" si="16"/>
        <v>Married</v>
      </c>
      <c r="D545" t="s">
        <v>29</v>
      </c>
      <c r="E545" t="str">
        <f t="shared" si="17"/>
        <v>Female</v>
      </c>
      <c r="F545" s="2">
        <v>70000</v>
      </c>
      <c r="G545">
        <v>2</v>
      </c>
      <c r="H545" t="s">
        <v>24</v>
      </c>
      <c r="I545" t="s">
        <v>18</v>
      </c>
      <c r="J545" t="s">
        <v>13</v>
      </c>
      <c r="K545">
        <v>2</v>
      </c>
      <c r="L545" t="s">
        <v>19</v>
      </c>
      <c r="M545" t="s">
        <v>28</v>
      </c>
      <c r="N545" s="2">
        <v>53</v>
      </c>
      <c r="O545" t="str" cm="1">
        <f t="array" ref="O545">_xlfn.IFS(
  AND(BikePurchase[[#This Row],[Age]]&gt;=18, BikePurchase[[#This Row],[Age]]&lt;=30), "Adolescent",
  AND(BikePurchase[[#This Row],[Age]]&gt;30, BikePurchase[[#This Row],[Age]]&lt;55), "Middle Aged",
  AND(BikePurchase[[#This Row],[Age]]&gt;=55, BikePurchase[[#This Row],[Age]]&lt;90), "Old",
  TRUE, "Invalid"
)</f>
        <v>Middle Aged</v>
      </c>
      <c r="P545" t="s">
        <v>15</v>
      </c>
      <c r="Q545" t="str">
        <f>IF(BikePurchase[[#This Row],[Purchased BikeX]]="No","Not Purchased","Purchased")</f>
        <v>Not Purchased</v>
      </c>
    </row>
    <row r="546" spans="1:17" x14ac:dyDescent="0.3">
      <c r="A546">
        <v>24397</v>
      </c>
      <c r="B546" t="s">
        <v>31</v>
      </c>
      <c r="C546" t="str">
        <f t="shared" si="16"/>
        <v>Single</v>
      </c>
      <c r="D546" t="s">
        <v>30</v>
      </c>
      <c r="E546" t="str">
        <f t="shared" si="17"/>
        <v>Male</v>
      </c>
      <c r="F546" s="2">
        <v>120000</v>
      </c>
      <c r="G546">
        <v>2</v>
      </c>
      <c r="H546" t="s">
        <v>11</v>
      </c>
      <c r="I546" t="s">
        <v>25</v>
      </c>
      <c r="J546" t="s">
        <v>15</v>
      </c>
      <c r="K546">
        <v>4</v>
      </c>
      <c r="L546" t="s">
        <v>23</v>
      </c>
      <c r="M546" t="s">
        <v>28</v>
      </c>
      <c r="N546" s="2">
        <v>40</v>
      </c>
      <c r="O546" t="str" cm="1">
        <f t="array" ref="O546">_xlfn.IFS(
  AND(BikePurchase[[#This Row],[Age]]&gt;=18, BikePurchase[[#This Row],[Age]]&lt;=30), "Adolescent",
  AND(BikePurchase[[#This Row],[Age]]&gt;30, BikePurchase[[#This Row],[Age]]&lt;55), "Middle Aged",
  AND(BikePurchase[[#This Row],[Age]]&gt;=55, BikePurchase[[#This Row],[Age]]&lt;90), "Old",
  TRUE, "Invalid"
)</f>
        <v>Middle Aged</v>
      </c>
      <c r="P546" t="s">
        <v>15</v>
      </c>
      <c r="Q546" t="str">
        <f>IF(BikePurchase[[#This Row],[Purchased BikeX]]="No","Not Purchased","Purchased")</f>
        <v>Not Purchased</v>
      </c>
    </row>
    <row r="547" spans="1:17" x14ac:dyDescent="0.3">
      <c r="A547">
        <v>19758</v>
      </c>
      <c r="B547" t="s">
        <v>31</v>
      </c>
      <c r="C547" t="str">
        <f t="shared" si="16"/>
        <v>Single</v>
      </c>
      <c r="D547" t="s">
        <v>30</v>
      </c>
      <c r="E547" t="str">
        <f t="shared" si="17"/>
        <v>Male</v>
      </c>
      <c r="F547" s="2">
        <v>60000</v>
      </c>
      <c r="G547">
        <v>0</v>
      </c>
      <c r="H547" t="s">
        <v>16</v>
      </c>
      <c r="I547" t="s">
        <v>12</v>
      </c>
      <c r="J547" t="s">
        <v>15</v>
      </c>
      <c r="K547">
        <v>2</v>
      </c>
      <c r="L547" t="s">
        <v>23</v>
      </c>
      <c r="M547" t="s">
        <v>28</v>
      </c>
      <c r="N547" s="2">
        <v>29</v>
      </c>
      <c r="O547" t="str" cm="1">
        <f t="array" ref="O547">_xlfn.IFS(
  AND(BikePurchase[[#This Row],[Age]]&gt;=18, BikePurchase[[#This Row],[Age]]&lt;=30), "Adolescent",
  AND(BikePurchase[[#This Row],[Age]]&gt;30, BikePurchase[[#This Row],[Age]]&lt;55), "Middle Aged",
  AND(BikePurchase[[#This Row],[Age]]&gt;=55, BikePurchase[[#This Row],[Age]]&lt;90), "Old",
  TRUE, "Invalid"
)</f>
        <v>Adolescent</v>
      </c>
      <c r="P547" t="s">
        <v>15</v>
      </c>
      <c r="Q547" t="str">
        <f>IF(BikePurchase[[#This Row],[Purchased BikeX]]="No","Not Purchased","Purchased")</f>
        <v>Not Purchased</v>
      </c>
    </row>
    <row r="548" spans="1:17" x14ac:dyDescent="0.3">
      <c r="A548">
        <v>15529</v>
      </c>
      <c r="B548" t="s">
        <v>30</v>
      </c>
      <c r="C548" t="str">
        <f t="shared" si="16"/>
        <v>Married</v>
      </c>
      <c r="D548" t="s">
        <v>30</v>
      </c>
      <c r="E548" t="str">
        <f t="shared" si="17"/>
        <v>Male</v>
      </c>
      <c r="F548" s="2">
        <v>60000</v>
      </c>
      <c r="G548">
        <v>4</v>
      </c>
      <c r="H548" t="s">
        <v>11</v>
      </c>
      <c r="I548" t="s">
        <v>18</v>
      </c>
      <c r="J548" t="s">
        <v>13</v>
      </c>
      <c r="K548">
        <v>2</v>
      </c>
      <c r="L548" t="s">
        <v>19</v>
      </c>
      <c r="M548" t="s">
        <v>28</v>
      </c>
      <c r="N548" s="2">
        <v>43</v>
      </c>
      <c r="O548" t="str" cm="1">
        <f t="array" ref="O548">_xlfn.IFS(
  AND(BikePurchase[[#This Row],[Age]]&gt;=18, BikePurchase[[#This Row],[Age]]&lt;=30), "Adolescent",
  AND(BikePurchase[[#This Row],[Age]]&gt;30, BikePurchase[[#This Row],[Age]]&lt;55), "Middle Aged",
  AND(BikePurchase[[#This Row],[Age]]&gt;=55, BikePurchase[[#This Row],[Age]]&lt;90), "Old",
  TRUE, "Invalid"
)</f>
        <v>Middle Aged</v>
      </c>
      <c r="P548" t="s">
        <v>13</v>
      </c>
      <c r="Q548" t="str">
        <f>IF(BikePurchase[[#This Row],[Purchased BikeX]]="No","Not Purchased","Purchased")</f>
        <v>Purchased</v>
      </c>
    </row>
    <row r="549" spans="1:17" x14ac:dyDescent="0.3">
      <c r="A549">
        <v>19884</v>
      </c>
      <c r="B549" t="s">
        <v>30</v>
      </c>
      <c r="C549" t="str">
        <f t="shared" si="16"/>
        <v>Married</v>
      </c>
      <c r="D549" t="s">
        <v>30</v>
      </c>
      <c r="E549" t="str">
        <f t="shared" si="17"/>
        <v>Male</v>
      </c>
      <c r="F549" s="2">
        <v>60000</v>
      </c>
      <c r="G549">
        <v>2</v>
      </c>
      <c r="H549" t="s">
        <v>24</v>
      </c>
      <c r="I549" t="s">
        <v>18</v>
      </c>
      <c r="J549" t="s">
        <v>13</v>
      </c>
      <c r="K549">
        <v>2</v>
      </c>
      <c r="L549" t="s">
        <v>19</v>
      </c>
      <c r="M549" t="s">
        <v>28</v>
      </c>
      <c r="N549" s="2">
        <v>55</v>
      </c>
      <c r="O549" t="str" cm="1">
        <f t="array" ref="O549">_xlfn.IFS(
  AND(BikePurchase[[#This Row],[Age]]&gt;=18, BikePurchase[[#This Row],[Age]]&lt;=30), "Adolescent",
  AND(BikePurchase[[#This Row],[Age]]&gt;30, BikePurchase[[#This Row],[Age]]&lt;55), "Middle Aged",
  AND(BikePurchase[[#This Row],[Age]]&gt;=55, BikePurchase[[#This Row],[Age]]&lt;90), "Old",
  TRUE, "Invalid"
)</f>
        <v>Old</v>
      </c>
      <c r="P549" t="s">
        <v>13</v>
      </c>
      <c r="Q549" t="str">
        <f>IF(BikePurchase[[#This Row],[Purchased BikeX]]="No","Not Purchased","Purchased")</f>
        <v>Purchased</v>
      </c>
    </row>
    <row r="550" spans="1:17" x14ac:dyDescent="0.3">
      <c r="A550">
        <v>18674</v>
      </c>
      <c r="B550" t="s">
        <v>31</v>
      </c>
      <c r="C550" t="str">
        <f t="shared" si="16"/>
        <v>Single</v>
      </c>
      <c r="D550" t="s">
        <v>29</v>
      </c>
      <c r="E550" t="str">
        <f t="shared" si="17"/>
        <v>Female</v>
      </c>
      <c r="F550" s="2">
        <v>80000</v>
      </c>
      <c r="G550">
        <v>4</v>
      </c>
      <c r="H550" t="s">
        <v>27</v>
      </c>
      <c r="I550" t="s">
        <v>12</v>
      </c>
      <c r="J550" t="s">
        <v>15</v>
      </c>
      <c r="K550">
        <v>0</v>
      </c>
      <c r="L550" t="s">
        <v>35</v>
      </c>
      <c r="M550" t="s">
        <v>28</v>
      </c>
      <c r="N550" s="2">
        <v>48</v>
      </c>
      <c r="O550" t="str" cm="1">
        <f t="array" ref="O550">_xlfn.IFS(
  AND(BikePurchase[[#This Row],[Age]]&gt;=18, BikePurchase[[#This Row],[Age]]&lt;=30), "Adolescent",
  AND(BikePurchase[[#This Row],[Age]]&gt;30, BikePurchase[[#This Row],[Age]]&lt;55), "Middle Aged",
  AND(BikePurchase[[#This Row],[Age]]&gt;=55, BikePurchase[[#This Row],[Age]]&lt;90), "Old",
  TRUE, "Invalid"
)</f>
        <v>Middle Aged</v>
      </c>
      <c r="P550" t="s">
        <v>15</v>
      </c>
      <c r="Q550" t="str">
        <f>IF(BikePurchase[[#This Row],[Purchased BikeX]]="No","Not Purchased","Purchased")</f>
        <v>Not Purchased</v>
      </c>
    </row>
    <row r="551" spans="1:17" x14ac:dyDescent="0.3">
      <c r="A551">
        <v>13453</v>
      </c>
      <c r="B551" t="s">
        <v>30</v>
      </c>
      <c r="C551" t="str">
        <f t="shared" si="16"/>
        <v>Married</v>
      </c>
      <c r="D551" t="s">
        <v>29</v>
      </c>
      <c r="E551" t="str">
        <f t="shared" si="17"/>
        <v>Female</v>
      </c>
      <c r="F551" s="2">
        <v>130000</v>
      </c>
      <c r="G551">
        <v>3</v>
      </c>
      <c r="H551" t="s">
        <v>11</v>
      </c>
      <c r="I551" t="s">
        <v>25</v>
      </c>
      <c r="J551" t="s">
        <v>13</v>
      </c>
      <c r="K551">
        <v>3</v>
      </c>
      <c r="L551" t="s">
        <v>35</v>
      </c>
      <c r="M551" t="s">
        <v>28</v>
      </c>
      <c r="N551" s="2">
        <v>45</v>
      </c>
      <c r="O551" t="str" cm="1">
        <f t="array" ref="O551">_xlfn.IFS(
  AND(BikePurchase[[#This Row],[Age]]&gt;=18, BikePurchase[[#This Row],[Age]]&lt;=30), "Adolescent",
  AND(BikePurchase[[#This Row],[Age]]&gt;30, BikePurchase[[#This Row],[Age]]&lt;55), "Middle Aged",
  AND(BikePurchase[[#This Row],[Age]]&gt;=55, BikePurchase[[#This Row],[Age]]&lt;90), "Old",
  TRUE, "Invalid"
)</f>
        <v>Middle Aged</v>
      </c>
      <c r="P551" t="s">
        <v>13</v>
      </c>
      <c r="Q551" t="str">
        <f>IF(BikePurchase[[#This Row],[Purchased BikeX]]="No","Not Purchased","Purchased")</f>
        <v>Purchased</v>
      </c>
    </row>
    <row r="552" spans="1:17" x14ac:dyDescent="0.3">
      <c r="A552">
        <v>14063</v>
      </c>
      <c r="B552" t="s">
        <v>31</v>
      </c>
      <c r="C552" t="str">
        <f t="shared" si="16"/>
        <v>Single</v>
      </c>
      <c r="D552" t="s">
        <v>29</v>
      </c>
      <c r="E552" t="str">
        <f t="shared" si="17"/>
        <v>Female</v>
      </c>
      <c r="F552" s="2">
        <v>70000</v>
      </c>
      <c r="G552">
        <v>0</v>
      </c>
      <c r="H552" t="s">
        <v>11</v>
      </c>
      <c r="I552" t="s">
        <v>18</v>
      </c>
      <c r="J552" t="s">
        <v>15</v>
      </c>
      <c r="K552">
        <v>1</v>
      </c>
      <c r="L552" t="s">
        <v>35</v>
      </c>
      <c r="M552" t="s">
        <v>21</v>
      </c>
      <c r="N552" s="2">
        <v>42</v>
      </c>
      <c r="O552" t="str" cm="1">
        <f t="array" ref="O552">_xlfn.IFS(
  AND(BikePurchase[[#This Row],[Age]]&gt;=18, BikePurchase[[#This Row],[Age]]&lt;=30), "Adolescent",
  AND(BikePurchase[[#This Row],[Age]]&gt;30, BikePurchase[[#This Row],[Age]]&lt;55), "Middle Aged",
  AND(BikePurchase[[#This Row],[Age]]&gt;=55, BikePurchase[[#This Row],[Age]]&lt;90), "Old",
  TRUE, "Invalid"
)</f>
        <v>Middle Aged</v>
      </c>
      <c r="P552" t="s">
        <v>13</v>
      </c>
      <c r="Q552" t="str">
        <f>IF(BikePurchase[[#This Row],[Purchased BikeX]]="No","Not Purchased","Purchased")</f>
        <v>Purchased</v>
      </c>
    </row>
    <row r="553" spans="1:17" x14ac:dyDescent="0.3">
      <c r="A553">
        <v>27393</v>
      </c>
      <c r="B553" t="s">
        <v>30</v>
      </c>
      <c r="C553" t="str">
        <f t="shared" si="16"/>
        <v>Married</v>
      </c>
      <c r="D553" t="s">
        <v>29</v>
      </c>
      <c r="E553" t="str">
        <f t="shared" si="17"/>
        <v>Female</v>
      </c>
      <c r="F553" s="2">
        <v>50000</v>
      </c>
      <c r="G553">
        <v>4</v>
      </c>
      <c r="H553" t="s">
        <v>11</v>
      </c>
      <c r="I553" t="s">
        <v>25</v>
      </c>
      <c r="J553" t="s">
        <v>13</v>
      </c>
      <c r="K553">
        <v>2</v>
      </c>
      <c r="L553" t="s">
        <v>48</v>
      </c>
      <c r="M553" t="s">
        <v>28</v>
      </c>
      <c r="N553" s="2">
        <v>63</v>
      </c>
      <c r="O553" t="str" cm="1">
        <f t="array" ref="O553">_xlfn.IFS(
  AND(BikePurchase[[#This Row],[Age]]&gt;=18, BikePurchase[[#This Row],[Age]]&lt;=30), "Adolescent",
  AND(BikePurchase[[#This Row],[Age]]&gt;30, BikePurchase[[#This Row],[Age]]&lt;55), "Middle Aged",
  AND(BikePurchase[[#This Row],[Age]]&gt;=55, BikePurchase[[#This Row],[Age]]&lt;90), "Old",
  TRUE, "Invalid"
)</f>
        <v>Old</v>
      </c>
      <c r="P553" t="s">
        <v>15</v>
      </c>
      <c r="Q553" t="str">
        <f>IF(BikePurchase[[#This Row],[Purchased BikeX]]="No","Not Purchased","Purchased")</f>
        <v>Not Purchased</v>
      </c>
    </row>
    <row r="554" spans="1:17" x14ac:dyDescent="0.3">
      <c r="A554">
        <v>14417</v>
      </c>
      <c r="B554" t="s">
        <v>31</v>
      </c>
      <c r="C554" t="str">
        <f t="shared" si="16"/>
        <v>Single</v>
      </c>
      <c r="D554" t="s">
        <v>30</v>
      </c>
      <c r="E554" t="str">
        <f t="shared" si="17"/>
        <v>Male</v>
      </c>
      <c r="F554" s="2">
        <v>60000</v>
      </c>
      <c r="G554">
        <v>3</v>
      </c>
      <c r="H554" t="s">
        <v>24</v>
      </c>
      <c r="I554" t="s">
        <v>18</v>
      </c>
      <c r="J554" t="s">
        <v>13</v>
      </c>
      <c r="K554">
        <v>2</v>
      </c>
      <c r="L554" t="s">
        <v>48</v>
      </c>
      <c r="M554" t="s">
        <v>28</v>
      </c>
      <c r="N554" s="2">
        <v>54</v>
      </c>
      <c r="O554" t="str" cm="1">
        <f t="array" ref="O554">_xlfn.IFS(
  AND(BikePurchase[[#This Row],[Age]]&gt;=18, BikePurchase[[#This Row],[Age]]&lt;=30), "Adolescent",
  AND(BikePurchase[[#This Row],[Age]]&gt;30, BikePurchase[[#This Row],[Age]]&lt;55), "Middle Aged",
  AND(BikePurchase[[#This Row],[Age]]&gt;=55, BikePurchase[[#This Row],[Age]]&lt;90), "Old",
  TRUE, "Invalid"
)</f>
        <v>Middle Aged</v>
      </c>
      <c r="P554" t="s">
        <v>13</v>
      </c>
      <c r="Q554" t="str">
        <f>IF(BikePurchase[[#This Row],[Purchased BikeX]]="No","Not Purchased","Purchased")</f>
        <v>Purchased</v>
      </c>
    </row>
    <row r="555" spans="1:17" x14ac:dyDescent="0.3">
      <c r="A555">
        <v>17533</v>
      </c>
      <c r="B555" t="s">
        <v>30</v>
      </c>
      <c r="C555" t="str">
        <f t="shared" si="16"/>
        <v>Married</v>
      </c>
      <c r="D555" t="s">
        <v>30</v>
      </c>
      <c r="E555" t="str">
        <f t="shared" si="17"/>
        <v>Male</v>
      </c>
      <c r="F555" s="2">
        <v>40000</v>
      </c>
      <c r="G555">
        <v>3</v>
      </c>
      <c r="H555" t="s">
        <v>16</v>
      </c>
      <c r="I555" t="s">
        <v>18</v>
      </c>
      <c r="J555" t="s">
        <v>15</v>
      </c>
      <c r="K555">
        <v>2</v>
      </c>
      <c r="L555" t="s">
        <v>20</v>
      </c>
      <c r="M555" t="s">
        <v>28</v>
      </c>
      <c r="N555" s="2">
        <v>73</v>
      </c>
      <c r="O555" t="str" cm="1">
        <f t="array" ref="O555">_xlfn.IFS(
  AND(BikePurchase[[#This Row],[Age]]&gt;=18, BikePurchase[[#This Row],[Age]]&lt;=30), "Adolescent",
  AND(BikePurchase[[#This Row],[Age]]&gt;30, BikePurchase[[#This Row],[Age]]&lt;55), "Middle Aged",
  AND(BikePurchase[[#This Row],[Age]]&gt;=55, BikePurchase[[#This Row],[Age]]&lt;90), "Old",
  TRUE, "Invalid"
)</f>
        <v>Old</v>
      </c>
      <c r="P555" t="s">
        <v>13</v>
      </c>
      <c r="Q555" t="str">
        <f>IF(BikePurchase[[#This Row],[Purchased BikeX]]="No","Not Purchased","Purchased")</f>
        <v>Purchased</v>
      </c>
    </row>
    <row r="556" spans="1:17" x14ac:dyDescent="0.3">
      <c r="A556">
        <v>18580</v>
      </c>
      <c r="B556" t="s">
        <v>30</v>
      </c>
      <c r="C556" t="str">
        <f t="shared" si="16"/>
        <v>Married</v>
      </c>
      <c r="D556" t="s">
        <v>29</v>
      </c>
      <c r="E556" t="str">
        <f t="shared" si="17"/>
        <v>Female</v>
      </c>
      <c r="F556" s="2">
        <v>60000</v>
      </c>
      <c r="G556">
        <v>2</v>
      </c>
      <c r="H556" t="s">
        <v>27</v>
      </c>
      <c r="I556" t="s">
        <v>18</v>
      </c>
      <c r="J556" t="s">
        <v>13</v>
      </c>
      <c r="K556">
        <v>0</v>
      </c>
      <c r="L556" t="s">
        <v>19</v>
      </c>
      <c r="M556" t="s">
        <v>28</v>
      </c>
      <c r="N556" s="2">
        <v>40</v>
      </c>
      <c r="O556" t="str" cm="1">
        <f t="array" ref="O556">_xlfn.IFS(
  AND(BikePurchase[[#This Row],[Age]]&gt;=18, BikePurchase[[#This Row],[Age]]&lt;=30), "Adolescent",
  AND(BikePurchase[[#This Row],[Age]]&gt;30, BikePurchase[[#This Row],[Age]]&lt;55), "Middle Aged",
  AND(BikePurchase[[#This Row],[Age]]&gt;=55, BikePurchase[[#This Row],[Age]]&lt;90), "Old",
  TRUE, "Invalid"
)</f>
        <v>Middle Aged</v>
      </c>
      <c r="P556" t="s">
        <v>13</v>
      </c>
      <c r="Q556" t="str">
        <f>IF(BikePurchase[[#This Row],[Purchased BikeX]]="No","Not Purchased","Purchased")</f>
        <v>Purchased</v>
      </c>
    </row>
    <row r="557" spans="1:17" x14ac:dyDescent="0.3">
      <c r="A557">
        <v>17025</v>
      </c>
      <c r="B557" t="s">
        <v>31</v>
      </c>
      <c r="C557" t="str">
        <f t="shared" si="16"/>
        <v>Single</v>
      </c>
      <c r="D557" t="s">
        <v>30</v>
      </c>
      <c r="E557" t="str">
        <f t="shared" si="17"/>
        <v>Male</v>
      </c>
      <c r="F557" s="2">
        <v>50000</v>
      </c>
      <c r="G557">
        <v>0</v>
      </c>
      <c r="H557" t="s">
        <v>16</v>
      </c>
      <c r="I557" t="s">
        <v>12</v>
      </c>
      <c r="J557" t="s">
        <v>15</v>
      </c>
      <c r="K557">
        <v>1</v>
      </c>
      <c r="L557" t="s">
        <v>19</v>
      </c>
      <c r="M557" t="s">
        <v>28</v>
      </c>
      <c r="N557" s="2">
        <v>39</v>
      </c>
      <c r="O557" t="str" cm="1">
        <f t="array" ref="O557">_xlfn.IFS(
  AND(BikePurchase[[#This Row],[Age]]&gt;=18, BikePurchase[[#This Row],[Age]]&lt;=30), "Adolescent",
  AND(BikePurchase[[#This Row],[Age]]&gt;30, BikePurchase[[#This Row],[Age]]&lt;55), "Middle Aged",
  AND(BikePurchase[[#This Row],[Age]]&gt;=55, BikePurchase[[#This Row],[Age]]&lt;90), "Old",
  TRUE, "Invalid"
)</f>
        <v>Middle Aged</v>
      </c>
      <c r="P557" t="s">
        <v>13</v>
      </c>
      <c r="Q557" t="str">
        <f>IF(BikePurchase[[#This Row],[Purchased BikeX]]="No","Not Purchased","Purchased")</f>
        <v>Purchased</v>
      </c>
    </row>
    <row r="558" spans="1:17" x14ac:dyDescent="0.3">
      <c r="A558">
        <v>25293</v>
      </c>
      <c r="B558" t="s">
        <v>30</v>
      </c>
      <c r="C558" t="str">
        <f t="shared" si="16"/>
        <v>Married</v>
      </c>
      <c r="D558" t="s">
        <v>30</v>
      </c>
      <c r="E558" t="str">
        <f t="shared" si="17"/>
        <v>Male</v>
      </c>
      <c r="F558" s="2">
        <v>80000</v>
      </c>
      <c r="G558">
        <v>4</v>
      </c>
      <c r="H558" t="s">
        <v>11</v>
      </c>
      <c r="I558" t="s">
        <v>25</v>
      </c>
      <c r="J558" t="s">
        <v>13</v>
      </c>
      <c r="K558">
        <v>0</v>
      </c>
      <c r="L558" t="s">
        <v>23</v>
      </c>
      <c r="M558" t="s">
        <v>28</v>
      </c>
      <c r="N558" s="2">
        <v>42</v>
      </c>
      <c r="O558" t="str" cm="1">
        <f t="array" ref="O558">_xlfn.IFS(
  AND(BikePurchase[[#This Row],[Age]]&gt;=18, BikePurchase[[#This Row],[Age]]&lt;=30), "Adolescent",
  AND(BikePurchase[[#This Row],[Age]]&gt;30, BikePurchase[[#This Row],[Age]]&lt;55), "Middle Aged",
  AND(BikePurchase[[#This Row],[Age]]&gt;=55, BikePurchase[[#This Row],[Age]]&lt;90), "Old",
  TRUE, "Invalid"
)</f>
        <v>Middle Aged</v>
      </c>
      <c r="P558" t="s">
        <v>15</v>
      </c>
      <c r="Q558" t="str">
        <f>IF(BikePurchase[[#This Row],[Purchased BikeX]]="No","Not Purchased","Purchased")</f>
        <v>Not Purchased</v>
      </c>
    </row>
    <row r="559" spans="1:17" x14ac:dyDescent="0.3">
      <c r="A559">
        <v>24725</v>
      </c>
      <c r="B559" t="s">
        <v>30</v>
      </c>
      <c r="C559" t="str">
        <f t="shared" si="16"/>
        <v>Married</v>
      </c>
      <c r="D559" t="s">
        <v>29</v>
      </c>
      <c r="E559" t="str">
        <f t="shared" si="17"/>
        <v>Female</v>
      </c>
      <c r="F559" s="2">
        <v>40000</v>
      </c>
      <c r="G559">
        <v>3</v>
      </c>
      <c r="H559" t="s">
        <v>16</v>
      </c>
      <c r="I559" t="s">
        <v>17</v>
      </c>
      <c r="J559" t="s">
        <v>13</v>
      </c>
      <c r="K559">
        <v>0</v>
      </c>
      <c r="L559" t="s">
        <v>23</v>
      </c>
      <c r="M559" t="s">
        <v>28</v>
      </c>
      <c r="N559" s="2">
        <v>31</v>
      </c>
      <c r="O559" t="str" cm="1">
        <f t="array" ref="O559">_xlfn.IFS(
  AND(BikePurchase[[#This Row],[Age]]&gt;=18, BikePurchase[[#This Row],[Age]]&lt;=30), "Adolescent",
  AND(BikePurchase[[#This Row],[Age]]&gt;30, BikePurchase[[#This Row],[Age]]&lt;55), "Middle Aged",
  AND(BikePurchase[[#This Row],[Age]]&gt;=55, BikePurchase[[#This Row],[Age]]&lt;90), "Old",
  TRUE, "Invalid"
)</f>
        <v>Middle Aged</v>
      </c>
      <c r="P559" t="s">
        <v>15</v>
      </c>
      <c r="Q559" t="str">
        <f>IF(BikePurchase[[#This Row],[Purchased BikeX]]="No","Not Purchased","Purchased")</f>
        <v>Not Purchased</v>
      </c>
    </row>
    <row r="560" spans="1:17" x14ac:dyDescent="0.3">
      <c r="A560">
        <v>23200</v>
      </c>
      <c r="B560" t="s">
        <v>30</v>
      </c>
      <c r="C560" t="str">
        <f t="shared" si="16"/>
        <v>Married</v>
      </c>
      <c r="D560" t="s">
        <v>29</v>
      </c>
      <c r="E560" t="str">
        <f t="shared" si="17"/>
        <v>Female</v>
      </c>
      <c r="F560" s="2">
        <v>50000</v>
      </c>
      <c r="G560">
        <v>3</v>
      </c>
      <c r="H560" t="s">
        <v>11</v>
      </c>
      <c r="I560" t="s">
        <v>12</v>
      </c>
      <c r="J560" t="s">
        <v>13</v>
      </c>
      <c r="K560">
        <v>2</v>
      </c>
      <c r="L560" t="s">
        <v>35</v>
      </c>
      <c r="M560" t="s">
        <v>28</v>
      </c>
      <c r="N560" s="2">
        <v>41</v>
      </c>
      <c r="O560" t="str" cm="1">
        <f t="array" ref="O560">_xlfn.IFS(
  AND(BikePurchase[[#This Row],[Age]]&gt;=18, BikePurchase[[#This Row],[Age]]&lt;=30), "Adolescent",
  AND(BikePurchase[[#This Row],[Age]]&gt;30, BikePurchase[[#This Row],[Age]]&lt;55), "Middle Aged",
  AND(BikePurchase[[#This Row],[Age]]&gt;=55, BikePurchase[[#This Row],[Age]]&lt;90), "Old",
  TRUE, "Invalid"
)</f>
        <v>Middle Aged</v>
      </c>
      <c r="P560" t="s">
        <v>15</v>
      </c>
      <c r="Q560" t="str">
        <f>IF(BikePurchase[[#This Row],[Purchased BikeX]]="No","Not Purchased","Purchased")</f>
        <v>Not Purchased</v>
      </c>
    </row>
    <row r="561" spans="1:17" x14ac:dyDescent="0.3">
      <c r="A561">
        <v>15895</v>
      </c>
      <c r="B561" t="s">
        <v>31</v>
      </c>
      <c r="C561" t="str">
        <f t="shared" si="16"/>
        <v>Single</v>
      </c>
      <c r="D561" t="s">
        <v>29</v>
      </c>
      <c r="E561" t="str">
        <f t="shared" si="17"/>
        <v>Female</v>
      </c>
      <c r="F561" s="2">
        <v>60000</v>
      </c>
      <c r="G561">
        <v>2</v>
      </c>
      <c r="H561" t="s">
        <v>11</v>
      </c>
      <c r="I561" t="s">
        <v>25</v>
      </c>
      <c r="J561" t="s">
        <v>13</v>
      </c>
      <c r="K561">
        <v>0</v>
      </c>
      <c r="L561" t="s">
        <v>48</v>
      </c>
      <c r="M561" t="s">
        <v>28</v>
      </c>
      <c r="N561" s="2">
        <v>58</v>
      </c>
      <c r="O561" t="str" cm="1">
        <f t="array" ref="O561">_xlfn.IFS(
  AND(BikePurchase[[#This Row],[Age]]&gt;=18, BikePurchase[[#This Row],[Age]]&lt;=30), "Adolescent",
  AND(BikePurchase[[#This Row],[Age]]&gt;30, BikePurchase[[#This Row],[Age]]&lt;55), "Middle Aged",
  AND(BikePurchase[[#This Row],[Age]]&gt;=55, BikePurchase[[#This Row],[Age]]&lt;90), "Old",
  TRUE, "Invalid"
)</f>
        <v>Old</v>
      </c>
      <c r="P561" t="s">
        <v>15</v>
      </c>
      <c r="Q561" t="str">
        <f>IF(BikePurchase[[#This Row],[Purchased BikeX]]="No","Not Purchased","Purchased")</f>
        <v>Not Purchased</v>
      </c>
    </row>
    <row r="562" spans="1:17" x14ac:dyDescent="0.3">
      <c r="A562">
        <v>18577</v>
      </c>
      <c r="B562" t="s">
        <v>30</v>
      </c>
      <c r="C562" t="str">
        <f t="shared" si="16"/>
        <v>Married</v>
      </c>
      <c r="D562" t="s">
        <v>29</v>
      </c>
      <c r="E562" t="str">
        <f t="shared" si="17"/>
        <v>Female</v>
      </c>
      <c r="F562" s="2">
        <v>60000</v>
      </c>
      <c r="G562">
        <v>0</v>
      </c>
      <c r="H562" t="s">
        <v>27</v>
      </c>
      <c r="I562" t="s">
        <v>18</v>
      </c>
      <c r="J562" t="s">
        <v>13</v>
      </c>
      <c r="K562">
        <v>0</v>
      </c>
      <c r="L562" t="s">
        <v>35</v>
      </c>
      <c r="M562" t="s">
        <v>28</v>
      </c>
      <c r="N562" s="2">
        <v>40</v>
      </c>
      <c r="O562" t="str" cm="1">
        <f t="array" ref="O562">_xlfn.IFS(
  AND(BikePurchase[[#This Row],[Age]]&gt;=18, BikePurchase[[#This Row],[Age]]&lt;=30), "Adolescent",
  AND(BikePurchase[[#This Row],[Age]]&gt;30, BikePurchase[[#This Row],[Age]]&lt;55), "Middle Aged",
  AND(BikePurchase[[#This Row],[Age]]&gt;=55, BikePurchase[[#This Row],[Age]]&lt;90), "Old",
  TRUE, "Invalid"
)</f>
        <v>Middle Aged</v>
      </c>
      <c r="P562" t="s">
        <v>15</v>
      </c>
      <c r="Q562" t="str">
        <f>IF(BikePurchase[[#This Row],[Purchased BikeX]]="No","Not Purchased","Purchased")</f>
        <v>Not Purchased</v>
      </c>
    </row>
    <row r="563" spans="1:17" x14ac:dyDescent="0.3">
      <c r="A563">
        <v>27218</v>
      </c>
      <c r="B563" t="s">
        <v>30</v>
      </c>
      <c r="C563" t="str">
        <f t="shared" si="16"/>
        <v>Married</v>
      </c>
      <c r="D563" t="s">
        <v>29</v>
      </c>
      <c r="E563" t="str">
        <f t="shared" si="17"/>
        <v>Female</v>
      </c>
      <c r="F563" s="2">
        <v>20000</v>
      </c>
      <c r="G563">
        <v>2</v>
      </c>
      <c r="H563" t="s">
        <v>26</v>
      </c>
      <c r="I563" t="s">
        <v>17</v>
      </c>
      <c r="J563" t="s">
        <v>15</v>
      </c>
      <c r="K563">
        <v>0</v>
      </c>
      <c r="L563" t="s">
        <v>35</v>
      </c>
      <c r="M563" t="s">
        <v>28</v>
      </c>
      <c r="N563" s="2">
        <v>48</v>
      </c>
      <c r="O563" t="str" cm="1">
        <f t="array" ref="O563">_xlfn.IFS(
  AND(BikePurchase[[#This Row],[Age]]&gt;=18, BikePurchase[[#This Row],[Age]]&lt;=30), "Adolescent",
  AND(BikePurchase[[#This Row],[Age]]&gt;30, BikePurchase[[#This Row],[Age]]&lt;55), "Middle Aged",
  AND(BikePurchase[[#This Row],[Age]]&gt;=55, BikePurchase[[#This Row],[Age]]&lt;90), "Old",
  TRUE, "Invalid"
)</f>
        <v>Middle Aged</v>
      </c>
      <c r="P563" t="s">
        <v>15</v>
      </c>
      <c r="Q563" t="str">
        <f>IF(BikePurchase[[#This Row],[Purchased BikeX]]="No","Not Purchased","Purchased")</f>
        <v>Not Purchased</v>
      </c>
    </row>
    <row r="564" spans="1:17" x14ac:dyDescent="0.3">
      <c r="A564">
        <v>18560</v>
      </c>
      <c r="B564" t="s">
        <v>30</v>
      </c>
      <c r="C564" t="str">
        <f t="shared" si="16"/>
        <v>Married</v>
      </c>
      <c r="D564" t="s">
        <v>29</v>
      </c>
      <c r="E564" t="str">
        <f t="shared" si="17"/>
        <v>Female</v>
      </c>
      <c r="F564" s="2">
        <v>70000</v>
      </c>
      <c r="G564">
        <v>2</v>
      </c>
      <c r="H564" t="s">
        <v>27</v>
      </c>
      <c r="I564" t="s">
        <v>18</v>
      </c>
      <c r="J564" t="s">
        <v>13</v>
      </c>
      <c r="K564">
        <v>0</v>
      </c>
      <c r="L564" t="s">
        <v>19</v>
      </c>
      <c r="M564" t="s">
        <v>28</v>
      </c>
      <c r="N564" s="2">
        <v>34</v>
      </c>
      <c r="O564" t="str" cm="1">
        <f t="array" ref="O564">_xlfn.IFS(
  AND(BikePurchase[[#This Row],[Age]]&gt;=18, BikePurchase[[#This Row],[Age]]&lt;=30), "Adolescent",
  AND(BikePurchase[[#This Row],[Age]]&gt;30, BikePurchase[[#This Row],[Age]]&lt;55), "Middle Aged",
  AND(BikePurchase[[#This Row],[Age]]&gt;=55, BikePurchase[[#This Row],[Age]]&lt;90), "Old",
  TRUE, "Invalid"
)</f>
        <v>Middle Aged</v>
      </c>
      <c r="P564" t="s">
        <v>13</v>
      </c>
      <c r="Q564" t="str">
        <f>IF(BikePurchase[[#This Row],[Purchased BikeX]]="No","Not Purchased","Purchased")</f>
        <v>Purchased</v>
      </c>
    </row>
    <row r="565" spans="1:17" x14ac:dyDescent="0.3">
      <c r="A565">
        <v>25006</v>
      </c>
      <c r="B565" t="s">
        <v>31</v>
      </c>
      <c r="C565" t="str">
        <f t="shared" si="16"/>
        <v>Single</v>
      </c>
      <c r="D565" t="s">
        <v>29</v>
      </c>
      <c r="E565" t="str">
        <f t="shared" si="17"/>
        <v>Female</v>
      </c>
      <c r="F565" s="2">
        <v>30000</v>
      </c>
      <c r="G565">
        <v>0</v>
      </c>
      <c r="H565" t="s">
        <v>16</v>
      </c>
      <c r="I565" t="s">
        <v>12</v>
      </c>
      <c r="J565" t="s">
        <v>13</v>
      </c>
      <c r="K565">
        <v>1</v>
      </c>
      <c r="L565" t="s">
        <v>20</v>
      </c>
      <c r="M565" t="s">
        <v>28</v>
      </c>
      <c r="N565" s="2">
        <v>28</v>
      </c>
      <c r="O565" t="str" cm="1">
        <f t="array" ref="O565">_xlfn.IFS(
  AND(BikePurchase[[#This Row],[Age]]&gt;=18, BikePurchase[[#This Row],[Age]]&lt;=30), "Adolescent",
  AND(BikePurchase[[#This Row],[Age]]&gt;30, BikePurchase[[#This Row],[Age]]&lt;55), "Middle Aged",
  AND(BikePurchase[[#This Row],[Age]]&gt;=55, BikePurchase[[#This Row],[Age]]&lt;90), "Old",
  TRUE, "Invalid"
)</f>
        <v>Adolescent</v>
      </c>
      <c r="P565" t="s">
        <v>15</v>
      </c>
      <c r="Q565" t="str">
        <f>IF(BikePurchase[[#This Row],[Purchased BikeX]]="No","Not Purchased","Purchased")</f>
        <v>Not Purchased</v>
      </c>
    </row>
    <row r="566" spans="1:17" x14ac:dyDescent="0.3">
      <c r="A566">
        <v>17369</v>
      </c>
      <c r="B566" t="s">
        <v>31</v>
      </c>
      <c r="C566" t="str">
        <f t="shared" si="16"/>
        <v>Single</v>
      </c>
      <c r="D566" t="s">
        <v>30</v>
      </c>
      <c r="E566" t="str">
        <f t="shared" si="17"/>
        <v>Male</v>
      </c>
      <c r="F566" s="2">
        <v>30000</v>
      </c>
      <c r="G566">
        <v>0</v>
      </c>
      <c r="H566" t="s">
        <v>16</v>
      </c>
      <c r="I566" t="s">
        <v>12</v>
      </c>
      <c r="J566" t="s">
        <v>13</v>
      </c>
      <c r="K566">
        <v>1</v>
      </c>
      <c r="L566" t="s">
        <v>20</v>
      </c>
      <c r="M566" t="s">
        <v>28</v>
      </c>
      <c r="N566" s="2">
        <v>27</v>
      </c>
      <c r="O566" t="str" cm="1">
        <f t="array" ref="O566">_xlfn.IFS(
  AND(BikePurchase[[#This Row],[Age]]&gt;=18, BikePurchase[[#This Row],[Age]]&lt;=30), "Adolescent",
  AND(BikePurchase[[#This Row],[Age]]&gt;30, BikePurchase[[#This Row],[Age]]&lt;55), "Middle Aged",
  AND(BikePurchase[[#This Row],[Age]]&gt;=55, BikePurchase[[#This Row],[Age]]&lt;90), "Old",
  TRUE, "Invalid"
)</f>
        <v>Adolescent</v>
      </c>
      <c r="P566" t="s">
        <v>15</v>
      </c>
      <c r="Q566" t="str">
        <f>IF(BikePurchase[[#This Row],[Purchased BikeX]]="No","Not Purchased","Purchased")</f>
        <v>Not Purchased</v>
      </c>
    </row>
    <row r="567" spans="1:17" x14ac:dyDescent="0.3">
      <c r="A567">
        <v>14495</v>
      </c>
      <c r="B567" t="s">
        <v>30</v>
      </c>
      <c r="C567" t="str">
        <f t="shared" si="16"/>
        <v>Married</v>
      </c>
      <c r="D567" t="s">
        <v>30</v>
      </c>
      <c r="E567" t="str">
        <f t="shared" si="17"/>
        <v>Male</v>
      </c>
      <c r="F567" s="2">
        <v>40000</v>
      </c>
      <c r="G567">
        <v>3</v>
      </c>
      <c r="H567" t="s">
        <v>16</v>
      </c>
      <c r="I567" t="s">
        <v>18</v>
      </c>
      <c r="J567" t="s">
        <v>15</v>
      </c>
      <c r="K567">
        <v>2</v>
      </c>
      <c r="L567" t="s">
        <v>20</v>
      </c>
      <c r="M567" t="s">
        <v>28</v>
      </c>
      <c r="N567" s="2">
        <v>54</v>
      </c>
      <c r="O567" t="str" cm="1">
        <f t="array" ref="O567">_xlfn.IFS(
  AND(BikePurchase[[#This Row],[Age]]&gt;=18, BikePurchase[[#This Row],[Age]]&lt;=30), "Adolescent",
  AND(BikePurchase[[#This Row],[Age]]&gt;30, BikePurchase[[#This Row],[Age]]&lt;55), "Middle Aged",
  AND(BikePurchase[[#This Row],[Age]]&gt;=55, BikePurchase[[#This Row],[Age]]&lt;90), "Old",
  TRUE, "Invalid"
)</f>
        <v>Middle Aged</v>
      </c>
      <c r="P567" t="s">
        <v>13</v>
      </c>
      <c r="Q567" t="str">
        <f>IF(BikePurchase[[#This Row],[Purchased BikeX]]="No","Not Purchased","Purchased")</f>
        <v>Purchased</v>
      </c>
    </row>
    <row r="568" spans="1:17" x14ac:dyDescent="0.3">
      <c r="A568">
        <v>18847</v>
      </c>
      <c r="B568" t="s">
        <v>30</v>
      </c>
      <c r="C568" t="str">
        <f t="shared" si="16"/>
        <v>Married</v>
      </c>
      <c r="D568" t="s">
        <v>29</v>
      </c>
      <c r="E568" t="str">
        <f t="shared" si="17"/>
        <v>Female</v>
      </c>
      <c r="F568" s="2">
        <v>60000</v>
      </c>
      <c r="G568">
        <v>2</v>
      </c>
      <c r="H568" t="s">
        <v>27</v>
      </c>
      <c r="I568" t="s">
        <v>25</v>
      </c>
      <c r="J568" t="s">
        <v>13</v>
      </c>
      <c r="K568">
        <v>2</v>
      </c>
      <c r="L568" t="s">
        <v>20</v>
      </c>
      <c r="M568" t="s">
        <v>28</v>
      </c>
      <c r="N568" s="2">
        <v>70</v>
      </c>
      <c r="O568" t="str" cm="1">
        <f t="array" ref="O568">_xlfn.IFS(
  AND(BikePurchase[[#This Row],[Age]]&gt;=18, BikePurchase[[#This Row],[Age]]&lt;=30), "Adolescent",
  AND(BikePurchase[[#This Row],[Age]]&gt;30, BikePurchase[[#This Row],[Age]]&lt;55), "Middle Aged",
  AND(BikePurchase[[#This Row],[Age]]&gt;=55, BikePurchase[[#This Row],[Age]]&lt;90), "Old",
  TRUE, "Invalid"
)</f>
        <v>Old</v>
      </c>
      <c r="P568" t="s">
        <v>15</v>
      </c>
      <c r="Q568" t="str">
        <f>IF(BikePurchase[[#This Row],[Purchased BikeX]]="No","Not Purchased","Purchased")</f>
        <v>Not Purchased</v>
      </c>
    </row>
    <row r="569" spans="1:17" x14ac:dyDescent="0.3">
      <c r="A569">
        <v>14754</v>
      </c>
      <c r="B569" t="s">
        <v>30</v>
      </c>
      <c r="C569" t="str">
        <f t="shared" si="16"/>
        <v>Married</v>
      </c>
      <c r="D569" t="s">
        <v>30</v>
      </c>
      <c r="E569" t="str">
        <f t="shared" si="17"/>
        <v>Male</v>
      </c>
      <c r="F569" s="2">
        <v>40000</v>
      </c>
      <c r="G569">
        <v>1</v>
      </c>
      <c r="H569" t="s">
        <v>16</v>
      </c>
      <c r="I569" t="s">
        <v>17</v>
      </c>
      <c r="J569" t="s">
        <v>13</v>
      </c>
      <c r="K569">
        <v>1</v>
      </c>
      <c r="L569" t="s">
        <v>23</v>
      </c>
      <c r="M569" t="s">
        <v>28</v>
      </c>
      <c r="N569" s="2">
        <v>48</v>
      </c>
      <c r="O569" t="str" cm="1">
        <f t="array" ref="O569">_xlfn.IFS(
  AND(BikePurchase[[#This Row],[Age]]&gt;=18, BikePurchase[[#This Row],[Age]]&lt;=30), "Adolescent",
  AND(BikePurchase[[#This Row],[Age]]&gt;30, BikePurchase[[#This Row],[Age]]&lt;55), "Middle Aged",
  AND(BikePurchase[[#This Row],[Age]]&gt;=55, BikePurchase[[#This Row],[Age]]&lt;90), "Old",
  TRUE, "Invalid"
)</f>
        <v>Middle Aged</v>
      </c>
      <c r="P569" t="s">
        <v>13</v>
      </c>
      <c r="Q569" t="str">
        <f>IF(BikePurchase[[#This Row],[Purchased BikeX]]="No","Not Purchased","Purchased")</f>
        <v>Purchased</v>
      </c>
    </row>
    <row r="570" spans="1:17" x14ac:dyDescent="0.3">
      <c r="A570">
        <v>23378</v>
      </c>
      <c r="B570" t="s">
        <v>30</v>
      </c>
      <c r="C570" t="str">
        <f t="shared" si="16"/>
        <v>Married</v>
      </c>
      <c r="D570" t="s">
        <v>30</v>
      </c>
      <c r="E570" t="str">
        <f t="shared" si="17"/>
        <v>Male</v>
      </c>
      <c r="F570" s="2">
        <v>70000</v>
      </c>
      <c r="G570">
        <v>1</v>
      </c>
      <c r="H570" t="s">
        <v>16</v>
      </c>
      <c r="I570" t="s">
        <v>12</v>
      </c>
      <c r="J570" t="s">
        <v>13</v>
      </c>
      <c r="K570">
        <v>1</v>
      </c>
      <c r="L570" t="s">
        <v>19</v>
      </c>
      <c r="M570" t="s">
        <v>28</v>
      </c>
      <c r="N570" s="2">
        <v>44</v>
      </c>
      <c r="O570" t="str" cm="1">
        <f t="array" ref="O570">_xlfn.IFS(
  AND(BikePurchase[[#This Row],[Age]]&gt;=18, BikePurchase[[#This Row],[Age]]&lt;=30), "Adolescent",
  AND(BikePurchase[[#This Row],[Age]]&gt;30, BikePurchase[[#This Row],[Age]]&lt;55), "Middle Aged",
  AND(BikePurchase[[#This Row],[Age]]&gt;=55, BikePurchase[[#This Row],[Age]]&lt;90), "Old",
  TRUE, "Invalid"
)</f>
        <v>Middle Aged</v>
      </c>
      <c r="P570" t="s">
        <v>13</v>
      </c>
      <c r="Q570" t="str">
        <f>IF(BikePurchase[[#This Row],[Purchased BikeX]]="No","Not Purchased","Purchased")</f>
        <v>Purchased</v>
      </c>
    </row>
    <row r="571" spans="1:17" x14ac:dyDescent="0.3">
      <c r="A571">
        <v>26452</v>
      </c>
      <c r="B571" t="s">
        <v>31</v>
      </c>
      <c r="C571" t="str">
        <f t="shared" si="16"/>
        <v>Single</v>
      </c>
      <c r="D571" t="s">
        <v>30</v>
      </c>
      <c r="E571" t="str">
        <f t="shared" si="17"/>
        <v>Male</v>
      </c>
      <c r="F571" s="2">
        <v>50000</v>
      </c>
      <c r="G571">
        <v>3</v>
      </c>
      <c r="H571" t="s">
        <v>27</v>
      </c>
      <c r="I571" t="s">
        <v>25</v>
      </c>
      <c r="J571" t="s">
        <v>13</v>
      </c>
      <c r="K571">
        <v>2</v>
      </c>
      <c r="L571" t="s">
        <v>48</v>
      </c>
      <c r="M571" t="s">
        <v>28</v>
      </c>
      <c r="N571" s="2">
        <v>69</v>
      </c>
      <c r="O571" t="str" cm="1">
        <f t="array" ref="O571">_xlfn.IFS(
  AND(BikePurchase[[#This Row],[Age]]&gt;=18, BikePurchase[[#This Row],[Age]]&lt;=30), "Adolescent",
  AND(BikePurchase[[#This Row],[Age]]&gt;30, BikePurchase[[#This Row],[Age]]&lt;55), "Middle Aged",
  AND(BikePurchase[[#This Row],[Age]]&gt;=55, BikePurchase[[#This Row],[Age]]&lt;90), "Old",
  TRUE, "Invalid"
)</f>
        <v>Old</v>
      </c>
      <c r="P571" t="s">
        <v>15</v>
      </c>
      <c r="Q571" t="str">
        <f>IF(BikePurchase[[#This Row],[Purchased BikeX]]="No","Not Purchased","Purchased")</f>
        <v>Not Purchased</v>
      </c>
    </row>
    <row r="572" spans="1:17" x14ac:dyDescent="0.3">
      <c r="A572">
        <v>20370</v>
      </c>
      <c r="B572" t="s">
        <v>30</v>
      </c>
      <c r="C572" t="str">
        <f t="shared" si="16"/>
        <v>Married</v>
      </c>
      <c r="D572" t="s">
        <v>30</v>
      </c>
      <c r="E572" t="str">
        <f t="shared" si="17"/>
        <v>Male</v>
      </c>
      <c r="F572" s="2">
        <v>70000</v>
      </c>
      <c r="G572">
        <v>3</v>
      </c>
      <c r="H572" t="s">
        <v>26</v>
      </c>
      <c r="I572" t="s">
        <v>12</v>
      </c>
      <c r="J572" t="s">
        <v>13</v>
      </c>
      <c r="K572">
        <v>2</v>
      </c>
      <c r="L572" t="s">
        <v>20</v>
      </c>
      <c r="M572" t="s">
        <v>28</v>
      </c>
      <c r="N572" s="2">
        <v>52</v>
      </c>
      <c r="O572" t="str" cm="1">
        <f t="array" ref="O572">_xlfn.IFS(
  AND(BikePurchase[[#This Row],[Age]]&gt;=18, BikePurchase[[#This Row],[Age]]&lt;=30), "Adolescent",
  AND(BikePurchase[[#This Row],[Age]]&gt;30, BikePurchase[[#This Row],[Age]]&lt;55), "Middle Aged",
  AND(BikePurchase[[#This Row],[Age]]&gt;=55, BikePurchase[[#This Row],[Age]]&lt;90), "Old",
  TRUE, "Invalid"
)</f>
        <v>Middle Aged</v>
      </c>
      <c r="P572" t="s">
        <v>15</v>
      </c>
      <c r="Q572" t="str">
        <f>IF(BikePurchase[[#This Row],[Purchased BikeX]]="No","Not Purchased","Purchased")</f>
        <v>Not Purchased</v>
      </c>
    </row>
    <row r="573" spans="1:17" x14ac:dyDescent="0.3">
      <c r="A573">
        <v>20528</v>
      </c>
      <c r="B573" t="s">
        <v>30</v>
      </c>
      <c r="C573" t="str">
        <f t="shared" si="16"/>
        <v>Married</v>
      </c>
      <c r="D573" t="s">
        <v>30</v>
      </c>
      <c r="E573" t="str">
        <f t="shared" si="17"/>
        <v>Male</v>
      </c>
      <c r="F573" s="2">
        <v>40000</v>
      </c>
      <c r="G573">
        <v>2</v>
      </c>
      <c r="H573" t="s">
        <v>26</v>
      </c>
      <c r="I573" t="s">
        <v>12</v>
      </c>
      <c r="J573" t="s">
        <v>13</v>
      </c>
      <c r="K573">
        <v>2</v>
      </c>
      <c r="L573" t="s">
        <v>19</v>
      </c>
      <c r="M573" t="s">
        <v>28</v>
      </c>
      <c r="N573" s="2">
        <v>55</v>
      </c>
      <c r="O573" t="str" cm="1">
        <f t="array" ref="O573">_xlfn.IFS(
  AND(BikePurchase[[#This Row],[Age]]&gt;=18, BikePurchase[[#This Row],[Age]]&lt;=30), "Adolescent",
  AND(BikePurchase[[#This Row],[Age]]&gt;30, BikePurchase[[#This Row],[Age]]&lt;55), "Middle Aged",
  AND(BikePurchase[[#This Row],[Age]]&gt;=55, BikePurchase[[#This Row],[Age]]&lt;90), "Old",
  TRUE, "Invalid"
)</f>
        <v>Old</v>
      </c>
      <c r="P573" t="s">
        <v>15</v>
      </c>
      <c r="Q573" t="str">
        <f>IF(BikePurchase[[#This Row],[Purchased BikeX]]="No","Not Purchased","Purchased")</f>
        <v>Not Purchased</v>
      </c>
    </row>
    <row r="574" spans="1:17" x14ac:dyDescent="0.3">
      <c r="A574">
        <v>23549</v>
      </c>
      <c r="B574" t="s">
        <v>31</v>
      </c>
      <c r="C574" t="str">
        <f t="shared" si="16"/>
        <v>Single</v>
      </c>
      <c r="D574" t="s">
        <v>30</v>
      </c>
      <c r="E574" t="str">
        <f t="shared" si="17"/>
        <v>Male</v>
      </c>
      <c r="F574" s="2">
        <v>30000</v>
      </c>
      <c r="G574">
        <v>0</v>
      </c>
      <c r="H574" t="s">
        <v>24</v>
      </c>
      <c r="I574" t="s">
        <v>12</v>
      </c>
      <c r="J574" t="s">
        <v>13</v>
      </c>
      <c r="K574">
        <v>2</v>
      </c>
      <c r="L574" t="s">
        <v>20</v>
      </c>
      <c r="M574" t="s">
        <v>28</v>
      </c>
      <c r="N574" s="2">
        <v>30</v>
      </c>
      <c r="O574" t="str" cm="1">
        <f t="array" ref="O574">_xlfn.IFS(
  AND(BikePurchase[[#This Row],[Age]]&gt;=18, BikePurchase[[#This Row],[Age]]&lt;=30), "Adolescent",
  AND(BikePurchase[[#This Row],[Age]]&gt;30, BikePurchase[[#This Row],[Age]]&lt;55), "Middle Aged",
  AND(BikePurchase[[#This Row],[Age]]&gt;=55, BikePurchase[[#This Row],[Age]]&lt;90), "Old",
  TRUE, "Invalid"
)</f>
        <v>Adolescent</v>
      </c>
      <c r="P574" t="s">
        <v>15</v>
      </c>
      <c r="Q574" t="str">
        <f>IF(BikePurchase[[#This Row],[Purchased BikeX]]="No","Not Purchased","Purchased")</f>
        <v>Not Purchased</v>
      </c>
    </row>
    <row r="575" spans="1:17" x14ac:dyDescent="0.3">
      <c r="A575">
        <v>21751</v>
      </c>
      <c r="B575" t="s">
        <v>30</v>
      </c>
      <c r="C575" t="str">
        <f t="shared" si="16"/>
        <v>Married</v>
      </c>
      <c r="D575" t="s">
        <v>30</v>
      </c>
      <c r="E575" t="str">
        <f t="shared" si="17"/>
        <v>Male</v>
      </c>
      <c r="F575" s="2">
        <v>60000</v>
      </c>
      <c r="G575">
        <v>3</v>
      </c>
      <c r="H575" t="s">
        <v>27</v>
      </c>
      <c r="I575" t="s">
        <v>25</v>
      </c>
      <c r="J575" t="s">
        <v>13</v>
      </c>
      <c r="K575">
        <v>2</v>
      </c>
      <c r="L575" t="s">
        <v>23</v>
      </c>
      <c r="M575" t="s">
        <v>28</v>
      </c>
      <c r="N575" s="2">
        <v>63</v>
      </c>
      <c r="O575" t="str" cm="1">
        <f t="array" ref="O575">_xlfn.IFS(
  AND(BikePurchase[[#This Row],[Age]]&gt;=18, BikePurchase[[#This Row],[Age]]&lt;=30), "Adolescent",
  AND(BikePurchase[[#This Row],[Age]]&gt;30, BikePurchase[[#This Row],[Age]]&lt;55), "Middle Aged",
  AND(BikePurchase[[#This Row],[Age]]&gt;=55, BikePurchase[[#This Row],[Age]]&lt;90), "Old",
  TRUE, "Invalid"
)</f>
        <v>Old</v>
      </c>
      <c r="P575" t="s">
        <v>15</v>
      </c>
      <c r="Q575" t="str">
        <f>IF(BikePurchase[[#This Row],[Purchased BikeX]]="No","Not Purchased","Purchased")</f>
        <v>Not Purchased</v>
      </c>
    </row>
    <row r="576" spans="1:17" x14ac:dyDescent="0.3">
      <c r="A576">
        <v>21266</v>
      </c>
      <c r="B576" t="s">
        <v>31</v>
      </c>
      <c r="C576" t="str">
        <f t="shared" si="16"/>
        <v>Single</v>
      </c>
      <c r="D576" t="s">
        <v>29</v>
      </c>
      <c r="E576" t="str">
        <f t="shared" si="17"/>
        <v>Female</v>
      </c>
      <c r="F576" s="2">
        <v>80000</v>
      </c>
      <c r="G576">
        <v>0</v>
      </c>
      <c r="H576" t="s">
        <v>11</v>
      </c>
      <c r="I576" t="s">
        <v>25</v>
      </c>
      <c r="J576" t="s">
        <v>13</v>
      </c>
      <c r="K576">
        <v>1</v>
      </c>
      <c r="L576" t="s">
        <v>23</v>
      </c>
      <c r="M576" t="s">
        <v>28</v>
      </c>
      <c r="N576" s="2">
        <v>34</v>
      </c>
      <c r="O576" t="str" cm="1">
        <f t="array" ref="O576">_xlfn.IFS(
  AND(BikePurchase[[#This Row],[Age]]&gt;=18, BikePurchase[[#This Row],[Age]]&lt;=30), "Adolescent",
  AND(BikePurchase[[#This Row],[Age]]&gt;30, BikePurchase[[#This Row],[Age]]&lt;55), "Middle Aged",
  AND(BikePurchase[[#This Row],[Age]]&gt;=55, BikePurchase[[#This Row],[Age]]&lt;90), "Old",
  TRUE, "Invalid"
)</f>
        <v>Middle Aged</v>
      </c>
      <c r="P576" t="s">
        <v>13</v>
      </c>
      <c r="Q576" t="str">
        <f>IF(BikePurchase[[#This Row],[Purchased BikeX]]="No","Not Purchased","Purchased")</f>
        <v>Purchased</v>
      </c>
    </row>
    <row r="577" spans="1:17" x14ac:dyDescent="0.3">
      <c r="A577">
        <v>13388</v>
      </c>
      <c r="B577" t="s">
        <v>31</v>
      </c>
      <c r="C577" t="str">
        <f t="shared" si="16"/>
        <v>Single</v>
      </c>
      <c r="D577" t="s">
        <v>30</v>
      </c>
      <c r="E577" t="str">
        <f t="shared" si="17"/>
        <v>Male</v>
      </c>
      <c r="F577" s="2">
        <v>60000</v>
      </c>
      <c r="G577">
        <v>2</v>
      </c>
      <c r="H577" t="s">
        <v>16</v>
      </c>
      <c r="I577" t="s">
        <v>18</v>
      </c>
      <c r="J577" t="s">
        <v>13</v>
      </c>
      <c r="K577">
        <v>1</v>
      </c>
      <c r="L577" t="s">
        <v>48</v>
      </c>
      <c r="M577" t="s">
        <v>28</v>
      </c>
      <c r="N577" s="2">
        <v>56</v>
      </c>
      <c r="O577" t="str" cm="1">
        <f t="array" ref="O577">_xlfn.IFS(
  AND(BikePurchase[[#This Row],[Age]]&gt;=18, BikePurchase[[#This Row],[Age]]&lt;=30), "Adolescent",
  AND(BikePurchase[[#This Row],[Age]]&gt;30, BikePurchase[[#This Row],[Age]]&lt;55), "Middle Aged",
  AND(BikePurchase[[#This Row],[Age]]&gt;=55, BikePurchase[[#This Row],[Age]]&lt;90), "Old",
  TRUE, "Invalid"
)</f>
        <v>Old</v>
      </c>
      <c r="P577" t="s">
        <v>15</v>
      </c>
      <c r="Q577" t="str">
        <f>IF(BikePurchase[[#This Row],[Purchased BikeX]]="No","Not Purchased","Purchased")</f>
        <v>Not Purchased</v>
      </c>
    </row>
    <row r="578" spans="1:17" x14ac:dyDescent="0.3">
      <c r="A578">
        <v>18752</v>
      </c>
      <c r="B578" t="s">
        <v>31</v>
      </c>
      <c r="C578" t="str">
        <f t="shared" ref="C578:C641" si="18">IF(B578="M","Married","Single")</f>
        <v>Single</v>
      </c>
      <c r="D578" t="s">
        <v>29</v>
      </c>
      <c r="E578" t="str">
        <f t="shared" ref="E578:E641" si="19">IF(D578="F","Female","Male")</f>
        <v>Female</v>
      </c>
      <c r="F578" s="2">
        <v>40000</v>
      </c>
      <c r="G578">
        <v>0</v>
      </c>
      <c r="H578" t="s">
        <v>24</v>
      </c>
      <c r="I578" t="s">
        <v>12</v>
      </c>
      <c r="J578" t="s">
        <v>13</v>
      </c>
      <c r="K578">
        <v>1</v>
      </c>
      <c r="L578" t="s">
        <v>20</v>
      </c>
      <c r="M578" t="s">
        <v>28</v>
      </c>
      <c r="N578" s="2">
        <v>31</v>
      </c>
      <c r="O578" t="str" cm="1">
        <f t="array" ref="O578">_xlfn.IFS(
  AND(BikePurchase[[#This Row],[Age]]&gt;=18, BikePurchase[[#This Row],[Age]]&lt;=30), "Adolescent",
  AND(BikePurchase[[#This Row],[Age]]&gt;30, BikePurchase[[#This Row],[Age]]&lt;55), "Middle Aged",
  AND(BikePurchase[[#This Row],[Age]]&gt;=55, BikePurchase[[#This Row],[Age]]&lt;90), "Old",
  TRUE, "Invalid"
)</f>
        <v>Middle Aged</v>
      </c>
      <c r="P578" t="s">
        <v>15</v>
      </c>
      <c r="Q578" t="str">
        <f>IF(BikePurchase[[#This Row],[Purchased BikeX]]="No","Not Purchased","Purchased")</f>
        <v>Not Purchased</v>
      </c>
    </row>
    <row r="579" spans="1:17" x14ac:dyDescent="0.3">
      <c r="A579">
        <v>16917</v>
      </c>
      <c r="B579" t="s">
        <v>30</v>
      </c>
      <c r="C579" t="str">
        <f t="shared" si="18"/>
        <v>Married</v>
      </c>
      <c r="D579" t="s">
        <v>30</v>
      </c>
      <c r="E579" t="str">
        <f t="shared" si="19"/>
        <v>Male</v>
      </c>
      <c r="F579" s="2">
        <v>120000</v>
      </c>
      <c r="G579">
        <v>1</v>
      </c>
      <c r="H579" t="s">
        <v>11</v>
      </c>
      <c r="I579" t="s">
        <v>25</v>
      </c>
      <c r="J579" t="s">
        <v>13</v>
      </c>
      <c r="K579">
        <v>4</v>
      </c>
      <c r="L579" t="s">
        <v>35</v>
      </c>
      <c r="M579" t="s">
        <v>28</v>
      </c>
      <c r="N579" s="2">
        <v>38</v>
      </c>
      <c r="O579" t="str" cm="1">
        <f t="array" ref="O579">_xlfn.IFS(
  AND(BikePurchase[[#This Row],[Age]]&gt;=18, BikePurchase[[#This Row],[Age]]&lt;=30), "Adolescent",
  AND(BikePurchase[[#This Row],[Age]]&gt;30, BikePurchase[[#This Row],[Age]]&lt;55), "Middle Aged",
  AND(BikePurchase[[#This Row],[Age]]&gt;=55, BikePurchase[[#This Row],[Age]]&lt;90), "Old",
  TRUE, "Invalid"
)</f>
        <v>Middle Aged</v>
      </c>
      <c r="P579" t="s">
        <v>15</v>
      </c>
      <c r="Q579" t="str">
        <f>IF(BikePurchase[[#This Row],[Purchased BikeX]]="No","Not Purchased","Purchased")</f>
        <v>Not Purchased</v>
      </c>
    </row>
    <row r="580" spans="1:17" x14ac:dyDescent="0.3">
      <c r="A580">
        <v>15313</v>
      </c>
      <c r="B580" t="s">
        <v>30</v>
      </c>
      <c r="C580" t="str">
        <f t="shared" si="18"/>
        <v>Married</v>
      </c>
      <c r="D580" t="s">
        <v>30</v>
      </c>
      <c r="E580" t="str">
        <f t="shared" si="19"/>
        <v>Male</v>
      </c>
      <c r="F580" s="2">
        <v>60000</v>
      </c>
      <c r="G580">
        <v>4</v>
      </c>
      <c r="H580" t="s">
        <v>11</v>
      </c>
      <c r="I580" t="s">
        <v>25</v>
      </c>
      <c r="J580" t="s">
        <v>13</v>
      </c>
      <c r="K580">
        <v>2</v>
      </c>
      <c r="L580" t="s">
        <v>19</v>
      </c>
      <c r="M580" t="s">
        <v>28</v>
      </c>
      <c r="N580" s="2">
        <v>59</v>
      </c>
      <c r="O580" t="str" cm="1">
        <f t="array" ref="O580">_xlfn.IFS(
  AND(BikePurchase[[#This Row],[Age]]&gt;=18, BikePurchase[[#This Row],[Age]]&lt;=30), "Adolescent",
  AND(BikePurchase[[#This Row],[Age]]&gt;30, BikePurchase[[#This Row],[Age]]&lt;55), "Middle Aged",
  AND(BikePurchase[[#This Row],[Age]]&gt;=55, BikePurchase[[#This Row],[Age]]&lt;90), "Old",
  TRUE, "Invalid"
)</f>
        <v>Old</v>
      </c>
      <c r="P580" t="s">
        <v>15</v>
      </c>
      <c r="Q580" t="str">
        <f>IF(BikePurchase[[#This Row],[Purchased BikeX]]="No","Not Purchased","Purchased")</f>
        <v>Not Purchased</v>
      </c>
    </row>
    <row r="581" spans="1:17" x14ac:dyDescent="0.3">
      <c r="A581">
        <v>25329</v>
      </c>
      <c r="B581" t="s">
        <v>31</v>
      </c>
      <c r="C581" t="str">
        <f t="shared" si="18"/>
        <v>Single</v>
      </c>
      <c r="D581" t="s">
        <v>29</v>
      </c>
      <c r="E581" t="str">
        <f t="shared" si="19"/>
        <v>Female</v>
      </c>
      <c r="F581" s="2">
        <v>40000</v>
      </c>
      <c r="G581">
        <v>3</v>
      </c>
      <c r="H581" t="s">
        <v>16</v>
      </c>
      <c r="I581" t="s">
        <v>17</v>
      </c>
      <c r="J581" t="s">
        <v>15</v>
      </c>
      <c r="K581">
        <v>2</v>
      </c>
      <c r="L581" t="s">
        <v>35</v>
      </c>
      <c r="M581" t="s">
        <v>28</v>
      </c>
      <c r="N581" s="2">
        <v>32</v>
      </c>
      <c r="O581" t="str" cm="1">
        <f t="array" ref="O581">_xlfn.IFS(
  AND(BikePurchase[[#This Row],[Age]]&gt;=18, BikePurchase[[#This Row],[Age]]&lt;=30), "Adolescent",
  AND(BikePurchase[[#This Row],[Age]]&gt;30, BikePurchase[[#This Row],[Age]]&lt;55), "Middle Aged",
  AND(BikePurchase[[#This Row],[Age]]&gt;=55, BikePurchase[[#This Row],[Age]]&lt;90), "Old",
  TRUE, "Invalid"
)</f>
        <v>Middle Aged</v>
      </c>
      <c r="P581" t="s">
        <v>15</v>
      </c>
      <c r="Q581" t="str">
        <f>IF(BikePurchase[[#This Row],[Purchased BikeX]]="No","Not Purchased","Purchased")</f>
        <v>Not Purchased</v>
      </c>
    </row>
    <row r="582" spans="1:17" x14ac:dyDescent="0.3">
      <c r="A582">
        <v>20380</v>
      </c>
      <c r="B582" t="s">
        <v>30</v>
      </c>
      <c r="C582" t="str">
        <f t="shared" si="18"/>
        <v>Married</v>
      </c>
      <c r="D582" t="s">
        <v>29</v>
      </c>
      <c r="E582" t="str">
        <f t="shared" si="19"/>
        <v>Female</v>
      </c>
      <c r="F582" s="2">
        <v>60000</v>
      </c>
      <c r="G582">
        <v>3</v>
      </c>
      <c r="H582" t="s">
        <v>27</v>
      </c>
      <c r="I582" t="s">
        <v>25</v>
      </c>
      <c r="J582" t="s">
        <v>13</v>
      </c>
      <c r="K582">
        <v>2</v>
      </c>
      <c r="L582" t="s">
        <v>48</v>
      </c>
      <c r="M582" t="s">
        <v>28</v>
      </c>
      <c r="N582" s="2">
        <v>69</v>
      </c>
      <c r="O582" t="str" cm="1">
        <f t="array" ref="O582">_xlfn.IFS(
  AND(BikePurchase[[#This Row],[Age]]&gt;=18, BikePurchase[[#This Row],[Age]]&lt;=30), "Adolescent",
  AND(BikePurchase[[#This Row],[Age]]&gt;30, BikePurchase[[#This Row],[Age]]&lt;55), "Middle Aged",
  AND(BikePurchase[[#This Row],[Age]]&gt;=55, BikePurchase[[#This Row],[Age]]&lt;90), "Old",
  TRUE, "Invalid"
)</f>
        <v>Old</v>
      </c>
      <c r="P582" t="s">
        <v>15</v>
      </c>
      <c r="Q582" t="str">
        <f>IF(BikePurchase[[#This Row],[Purchased BikeX]]="No","Not Purchased","Purchased")</f>
        <v>Not Purchased</v>
      </c>
    </row>
    <row r="583" spans="1:17" x14ac:dyDescent="0.3">
      <c r="A583">
        <v>23089</v>
      </c>
      <c r="B583" t="s">
        <v>30</v>
      </c>
      <c r="C583" t="str">
        <f t="shared" si="18"/>
        <v>Married</v>
      </c>
      <c r="D583" t="s">
        <v>30</v>
      </c>
      <c r="E583" t="str">
        <f t="shared" si="19"/>
        <v>Male</v>
      </c>
      <c r="F583" s="2">
        <v>40000</v>
      </c>
      <c r="G583">
        <v>0</v>
      </c>
      <c r="H583" t="s">
        <v>16</v>
      </c>
      <c r="I583" t="s">
        <v>12</v>
      </c>
      <c r="J583" t="s">
        <v>13</v>
      </c>
      <c r="K583">
        <v>1</v>
      </c>
      <c r="L583" t="s">
        <v>20</v>
      </c>
      <c r="M583" t="s">
        <v>28</v>
      </c>
      <c r="N583" s="2">
        <v>28</v>
      </c>
      <c r="O583" t="str" cm="1">
        <f t="array" ref="O583">_xlfn.IFS(
  AND(BikePurchase[[#This Row],[Age]]&gt;=18, BikePurchase[[#This Row],[Age]]&lt;=30), "Adolescent",
  AND(BikePurchase[[#This Row],[Age]]&gt;30, BikePurchase[[#This Row],[Age]]&lt;55), "Middle Aged",
  AND(BikePurchase[[#This Row],[Age]]&gt;=55, BikePurchase[[#This Row],[Age]]&lt;90), "Old",
  TRUE, "Invalid"
)</f>
        <v>Adolescent</v>
      </c>
      <c r="P583" t="s">
        <v>15</v>
      </c>
      <c r="Q583" t="str">
        <f>IF(BikePurchase[[#This Row],[Purchased BikeX]]="No","Not Purchased","Purchased")</f>
        <v>Not Purchased</v>
      </c>
    </row>
    <row r="584" spans="1:17" x14ac:dyDescent="0.3">
      <c r="A584">
        <v>13749</v>
      </c>
      <c r="B584" t="s">
        <v>30</v>
      </c>
      <c r="C584" t="str">
        <f t="shared" si="18"/>
        <v>Married</v>
      </c>
      <c r="D584" t="s">
        <v>30</v>
      </c>
      <c r="E584" t="str">
        <f t="shared" si="19"/>
        <v>Male</v>
      </c>
      <c r="F584" s="2">
        <v>80000</v>
      </c>
      <c r="G584">
        <v>4</v>
      </c>
      <c r="H584" t="s">
        <v>27</v>
      </c>
      <c r="I584" t="s">
        <v>12</v>
      </c>
      <c r="J584" t="s">
        <v>13</v>
      </c>
      <c r="K584">
        <v>0</v>
      </c>
      <c r="L584" t="s">
        <v>23</v>
      </c>
      <c r="M584" t="s">
        <v>28</v>
      </c>
      <c r="N584" s="2">
        <v>47</v>
      </c>
      <c r="O584" t="str" cm="1">
        <f t="array" ref="O584">_xlfn.IFS(
  AND(BikePurchase[[#This Row],[Age]]&gt;=18, BikePurchase[[#This Row],[Age]]&lt;=30), "Adolescent",
  AND(BikePurchase[[#This Row],[Age]]&gt;30, BikePurchase[[#This Row],[Age]]&lt;55), "Middle Aged",
  AND(BikePurchase[[#This Row],[Age]]&gt;=55, BikePurchase[[#This Row],[Age]]&lt;90), "Old",
  TRUE, "Invalid"
)</f>
        <v>Middle Aged</v>
      </c>
      <c r="P584" t="s">
        <v>15</v>
      </c>
      <c r="Q584" t="str">
        <f>IF(BikePurchase[[#This Row],[Purchased BikeX]]="No","Not Purchased","Purchased")</f>
        <v>Not Purchased</v>
      </c>
    </row>
    <row r="585" spans="1:17" x14ac:dyDescent="0.3">
      <c r="A585">
        <v>24943</v>
      </c>
      <c r="B585" t="s">
        <v>30</v>
      </c>
      <c r="C585" t="str">
        <f t="shared" si="18"/>
        <v>Married</v>
      </c>
      <c r="D585" t="s">
        <v>30</v>
      </c>
      <c r="E585" t="str">
        <f t="shared" si="19"/>
        <v>Male</v>
      </c>
      <c r="F585" s="2">
        <v>60000</v>
      </c>
      <c r="G585">
        <v>3</v>
      </c>
      <c r="H585" t="s">
        <v>11</v>
      </c>
      <c r="I585" t="s">
        <v>25</v>
      </c>
      <c r="J585" t="s">
        <v>13</v>
      </c>
      <c r="K585">
        <v>2</v>
      </c>
      <c r="L585" t="s">
        <v>48</v>
      </c>
      <c r="M585" t="s">
        <v>28</v>
      </c>
      <c r="N585" s="2">
        <v>66</v>
      </c>
      <c r="O585" t="str" cm="1">
        <f t="array" ref="O585">_xlfn.IFS(
  AND(BikePurchase[[#This Row],[Age]]&gt;=18, BikePurchase[[#This Row],[Age]]&lt;=30), "Adolescent",
  AND(BikePurchase[[#This Row],[Age]]&gt;30, BikePurchase[[#This Row],[Age]]&lt;55), "Middle Aged",
  AND(BikePurchase[[#This Row],[Age]]&gt;=55, BikePurchase[[#This Row],[Age]]&lt;90), "Old",
  TRUE, "Invalid"
)</f>
        <v>Old</v>
      </c>
      <c r="P585" t="s">
        <v>15</v>
      </c>
      <c r="Q585" t="str">
        <f>IF(BikePurchase[[#This Row],[Purchased BikeX]]="No","Not Purchased","Purchased")</f>
        <v>Not Purchased</v>
      </c>
    </row>
    <row r="586" spans="1:17" x14ac:dyDescent="0.3">
      <c r="A586">
        <v>28667</v>
      </c>
      <c r="B586" t="s">
        <v>31</v>
      </c>
      <c r="C586" t="str">
        <f t="shared" si="18"/>
        <v>Single</v>
      </c>
      <c r="D586" t="s">
        <v>30</v>
      </c>
      <c r="E586" t="str">
        <f t="shared" si="19"/>
        <v>Male</v>
      </c>
      <c r="F586" s="2">
        <v>70000</v>
      </c>
      <c r="G586">
        <v>2</v>
      </c>
      <c r="H586" t="s">
        <v>11</v>
      </c>
      <c r="I586" t="s">
        <v>12</v>
      </c>
      <c r="J586" t="s">
        <v>15</v>
      </c>
      <c r="K586">
        <v>1</v>
      </c>
      <c r="L586" t="s">
        <v>35</v>
      </c>
      <c r="M586" t="s">
        <v>28</v>
      </c>
      <c r="N586" s="2">
        <v>37</v>
      </c>
      <c r="O586" t="str" cm="1">
        <f t="array" ref="O586">_xlfn.IFS(
  AND(BikePurchase[[#This Row],[Age]]&gt;=18, BikePurchase[[#This Row],[Age]]&lt;=30), "Adolescent",
  AND(BikePurchase[[#This Row],[Age]]&gt;30, BikePurchase[[#This Row],[Age]]&lt;55), "Middle Aged",
  AND(BikePurchase[[#This Row],[Age]]&gt;=55, BikePurchase[[#This Row],[Age]]&lt;90), "Old",
  TRUE, "Invalid"
)</f>
        <v>Middle Aged</v>
      </c>
      <c r="P586" t="s">
        <v>13</v>
      </c>
      <c r="Q586" t="str">
        <f>IF(BikePurchase[[#This Row],[Purchased BikeX]]="No","Not Purchased","Purchased")</f>
        <v>Purchased</v>
      </c>
    </row>
    <row r="587" spans="1:17" x14ac:dyDescent="0.3">
      <c r="A587">
        <v>15194</v>
      </c>
      <c r="B587" t="s">
        <v>31</v>
      </c>
      <c r="C587" t="str">
        <f t="shared" si="18"/>
        <v>Single</v>
      </c>
      <c r="D587" t="s">
        <v>30</v>
      </c>
      <c r="E587" t="str">
        <f t="shared" si="19"/>
        <v>Male</v>
      </c>
      <c r="F587" s="2">
        <v>120000</v>
      </c>
      <c r="G587">
        <v>2</v>
      </c>
      <c r="H587" t="s">
        <v>11</v>
      </c>
      <c r="I587" t="s">
        <v>25</v>
      </c>
      <c r="J587" t="s">
        <v>15</v>
      </c>
      <c r="K587">
        <v>3</v>
      </c>
      <c r="L587" t="s">
        <v>35</v>
      </c>
      <c r="M587" t="s">
        <v>28</v>
      </c>
      <c r="N587" s="2">
        <v>39</v>
      </c>
      <c r="O587" t="str" cm="1">
        <f t="array" ref="O587">_xlfn.IFS(
  AND(BikePurchase[[#This Row],[Age]]&gt;=18, BikePurchase[[#This Row],[Age]]&lt;=30), "Adolescent",
  AND(BikePurchase[[#This Row],[Age]]&gt;30, BikePurchase[[#This Row],[Age]]&lt;55), "Middle Aged",
  AND(BikePurchase[[#This Row],[Age]]&gt;=55, BikePurchase[[#This Row],[Age]]&lt;90), "Old",
  TRUE, "Invalid"
)</f>
        <v>Middle Aged</v>
      </c>
      <c r="P587" t="s">
        <v>13</v>
      </c>
      <c r="Q587" t="str">
        <f>IF(BikePurchase[[#This Row],[Purchased BikeX]]="No","Not Purchased","Purchased")</f>
        <v>Purchased</v>
      </c>
    </row>
    <row r="588" spans="1:17" x14ac:dyDescent="0.3">
      <c r="A588">
        <v>17436</v>
      </c>
      <c r="B588" t="s">
        <v>30</v>
      </c>
      <c r="C588" t="str">
        <f t="shared" si="18"/>
        <v>Married</v>
      </c>
      <c r="D588" t="s">
        <v>30</v>
      </c>
      <c r="E588" t="str">
        <f t="shared" si="19"/>
        <v>Male</v>
      </c>
      <c r="F588" s="2">
        <v>60000</v>
      </c>
      <c r="G588">
        <v>2</v>
      </c>
      <c r="H588" t="s">
        <v>24</v>
      </c>
      <c r="I588" t="s">
        <v>18</v>
      </c>
      <c r="J588" t="s">
        <v>15</v>
      </c>
      <c r="K588">
        <v>2</v>
      </c>
      <c r="L588" t="s">
        <v>23</v>
      </c>
      <c r="M588" t="s">
        <v>28</v>
      </c>
      <c r="N588" s="2">
        <v>51</v>
      </c>
      <c r="O588" t="str" cm="1">
        <f t="array" ref="O588">_xlfn.IFS(
  AND(BikePurchase[[#This Row],[Age]]&gt;=18, BikePurchase[[#This Row],[Age]]&lt;=30), "Adolescent",
  AND(BikePurchase[[#This Row],[Age]]&gt;30, BikePurchase[[#This Row],[Age]]&lt;55), "Middle Aged",
  AND(BikePurchase[[#This Row],[Age]]&gt;=55, BikePurchase[[#This Row],[Age]]&lt;90), "Old",
  TRUE, "Invalid"
)</f>
        <v>Middle Aged</v>
      </c>
      <c r="P588" t="s">
        <v>15</v>
      </c>
      <c r="Q588" t="str">
        <f>IF(BikePurchase[[#This Row],[Purchased BikeX]]="No","Not Purchased","Purchased")</f>
        <v>Not Purchased</v>
      </c>
    </row>
    <row r="589" spans="1:17" x14ac:dyDescent="0.3">
      <c r="A589">
        <v>18935</v>
      </c>
      <c r="B589" t="s">
        <v>30</v>
      </c>
      <c r="C589" t="str">
        <f t="shared" si="18"/>
        <v>Married</v>
      </c>
      <c r="D589" t="s">
        <v>29</v>
      </c>
      <c r="E589" t="str">
        <f t="shared" si="19"/>
        <v>Female</v>
      </c>
      <c r="F589" s="2">
        <v>130000</v>
      </c>
      <c r="G589">
        <v>0</v>
      </c>
      <c r="H589" t="s">
        <v>27</v>
      </c>
      <c r="I589" t="s">
        <v>25</v>
      </c>
      <c r="J589" t="s">
        <v>13</v>
      </c>
      <c r="K589">
        <v>3</v>
      </c>
      <c r="L589" t="s">
        <v>23</v>
      </c>
      <c r="M589" t="s">
        <v>28</v>
      </c>
      <c r="N589" s="2">
        <v>40</v>
      </c>
      <c r="O589" t="str" cm="1">
        <f t="array" ref="O589">_xlfn.IFS(
  AND(BikePurchase[[#This Row],[Age]]&gt;=18, BikePurchase[[#This Row],[Age]]&lt;=30), "Adolescent",
  AND(BikePurchase[[#This Row],[Age]]&gt;30, BikePurchase[[#This Row],[Age]]&lt;55), "Middle Aged",
  AND(BikePurchase[[#This Row],[Age]]&gt;=55, BikePurchase[[#This Row],[Age]]&lt;90), "Old",
  TRUE, "Invalid"
)</f>
        <v>Middle Aged</v>
      </c>
      <c r="P589" t="s">
        <v>15</v>
      </c>
      <c r="Q589" t="str">
        <f>IF(BikePurchase[[#This Row],[Purchased BikeX]]="No","Not Purchased","Purchased")</f>
        <v>Not Purchased</v>
      </c>
    </row>
    <row r="590" spans="1:17" x14ac:dyDescent="0.3">
      <c r="A590">
        <v>16871</v>
      </c>
      <c r="B590" t="s">
        <v>30</v>
      </c>
      <c r="C590" t="str">
        <f t="shared" si="18"/>
        <v>Married</v>
      </c>
      <c r="D590" t="s">
        <v>29</v>
      </c>
      <c r="E590" t="str">
        <f t="shared" si="19"/>
        <v>Female</v>
      </c>
      <c r="F590" s="2">
        <v>90000</v>
      </c>
      <c r="G590">
        <v>2</v>
      </c>
      <c r="H590" t="s">
        <v>24</v>
      </c>
      <c r="I590" t="s">
        <v>18</v>
      </c>
      <c r="J590" t="s">
        <v>13</v>
      </c>
      <c r="K590">
        <v>1</v>
      </c>
      <c r="L590" t="s">
        <v>48</v>
      </c>
      <c r="M590" t="s">
        <v>28</v>
      </c>
      <c r="N590" s="2">
        <v>51</v>
      </c>
      <c r="O590" t="str" cm="1">
        <f t="array" ref="O590">_xlfn.IFS(
  AND(BikePurchase[[#This Row],[Age]]&gt;=18, BikePurchase[[#This Row],[Age]]&lt;=30), "Adolescent",
  AND(BikePurchase[[#This Row],[Age]]&gt;30, BikePurchase[[#This Row],[Age]]&lt;55), "Middle Aged",
  AND(BikePurchase[[#This Row],[Age]]&gt;=55, BikePurchase[[#This Row],[Age]]&lt;90), "Old",
  TRUE, "Invalid"
)</f>
        <v>Middle Aged</v>
      </c>
      <c r="P590" t="s">
        <v>13</v>
      </c>
      <c r="Q590" t="str">
        <f>IF(BikePurchase[[#This Row],[Purchased BikeX]]="No","Not Purchased","Purchased")</f>
        <v>Purchased</v>
      </c>
    </row>
    <row r="591" spans="1:17" x14ac:dyDescent="0.3">
      <c r="A591">
        <v>12100</v>
      </c>
      <c r="B591" t="s">
        <v>31</v>
      </c>
      <c r="C591" t="str">
        <f t="shared" si="18"/>
        <v>Single</v>
      </c>
      <c r="D591" t="s">
        <v>30</v>
      </c>
      <c r="E591" t="str">
        <f t="shared" si="19"/>
        <v>Male</v>
      </c>
      <c r="F591" s="2">
        <v>60000</v>
      </c>
      <c r="G591">
        <v>2</v>
      </c>
      <c r="H591" t="s">
        <v>11</v>
      </c>
      <c r="I591" t="s">
        <v>25</v>
      </c>
      <c r="J591" t="s">
        <v>13</v>
      </c>
      <c r="K591">
        <v>0</v>
      </c>
      <c r="L591" t="s">
        <v>48</v>
      </c>
      <c r="M591" t="s">
        <v>28</v>
      </c>
      <c r="N591" s="2">
        <v>57</v>
      </c>
      <c r="O591" t="str" cm="1">
        <f t="array" ref="O591">_xlfn.IFS(
  AND(BikePurchase[[#This Row],[Age]]&gt;=18, BikePurchase[[#This Row],[Age]]&lt;=30), "Adolescent",
  AND(BikePurchase[[#This Row],[Age]]&gt;30, BikePurchase[[#This Row],[Age]]&lt;55), "Middle Aged",
  AND(BikePurchase[[#This Row],[Age]]&gt;=55, BikePurchase[[#This Row],[Age]]&lt;90), "Old",
  TRUE, "Invalid"
)</f>
        <v>Old</v>
      </c>
      <c r="P591" t="s">
        <v>15</v>
      </c>
      <c r="Q591" t="str">
        <f>IF(BikePurchase[[#This Row],[Purchased BikeX]]="No","Not Purchased","Purchased")</f>
        <v>Not Purchased</v>
      </c>
    </row>
    <row r="592" spans="1:17" x14ac:dyDescent="0.3">
      <c r="A592">
        <v>23158</v>
      </c>
      <c r="B592" t="s">
        <v>30</v>
      </c>
      <c r="C592" t="str">
        <f t="shared" si="18"/>
        <v>Married</v>
      </c>
      <c r="D592" t="s">
        <v>29</v>
      </c>
      <c r="E592" t="str">
        <f t="shared" si="19"/>
        <v>Female</v>
      </c>
      <c r="F592" s="2">
        <v>60000</v>
      </c>
      <c r="G592">
        <v>1</v>
      </c>
      <c r="H592" t="s">
        <v>27</v>
      </c>
      <c r="I592" t="s">
        <v>18</v>
      </c>
      <c r="J592" t="s">
        <v>15</v>
      </c>
      <c r="K592">
        <v>0</v>
      </c>
      <c r="L592" t="s">
        <v>35</v>
      </c>
      <c r="M592" t="s">
        <v>28</v>
      </c>
      <c r="N592" s="2">
        <v>35</v>
      </c>
      <c r="O592" t="str" cm="1">
        <f t="array" ref="O592">_xlfn.IFS(
  AND(BikePurchase[[#This Row],[Age]]&gt;=18, BikePurchase[[#This Row],[Age]]&lt;=30), "Adolescent",
  AND(BikePurchase[[#This Row],[Age]]&gt;30, BikePurchase[[#This Row],[Age]]&lt;55), "Middle Aged",
  AND(BikePurchase[[#This Row],[Age]]&gt;=55, BikePurchase[[#This Row],[Age]]&lt;90), "Old",
  TRUE, "Invalid"
)</f>
        <v>Middle Aged</v>
      </c>
      <c r="P592" t="s">
        <v>13</v>
      </c>
      <c r="Q592" t="str">
        <f>IF(BikePurchase[[#This Row],[Purchased BikeX]]="No","Not Purchased","Purchased")</f>
        <v>Purchased</v>
      </c>
    </row>
    <row r="593" spans="1:17" x14ac:dyDescent="0.3">
      <c r="A593">
        <v>18545</v>
      </c>
      <c r="B593" t="s">
        <v>30</v>
      </c>
      <c r="C593" t="str">
        <f t="shared" si="18"/>
        <v>Married</v>
      </c>
      <c r="D593" t="s">
        <v>30</v>
      </c>
      <c r="E593" t="str">
        <f t="shared" si="19"/>
        <v>Male</v>
      </c>
      <c r="F593" s="2">
        <v>40000</v>
      </c>
      <c r="G593">
        <v>4</v>
      </c>
      <c r="H593" t="s">
        <v>24</v>
      </c>
      <c r="I593" t="s">
        <v>18</v>
      </c>
      <c r="J593" t="s">
        <v>15</v>
      </c>
      <c r="K593">
        <v>2</v>
      </c>
      <c r="L593" t="s">
        <v>48</v>
      </c>
      <c r="M593" t="s">
        <v>28</v>
      </c>
      <c r="N593" s="2">
        <v>61</v>
      </c>
      <c r="O593" t="str" cm="1">
        <f t="array" ref="O593">_xlfn.IFS(
  AND(BikePurchase[[#This Row],[Age]]&gt;=18, BikePurchase[[#This Row],[Age]]&lt;=30), "Adolescent",
  AND(BikePurchase[[#This Row],[Age]]&gt;30, BikePurchase[[#This Row],[Age]]&lt;55), "Middle Aged",
  AND(BikePurchase[[#This Row],[Age]]&gt;=55, BikePurchase[[#This Row],[Age]]&lt;90), "Old",
  TRUE, "Invalid"
)</f>
        <v>Old</v>
      </c>
      <c r="P593" t="s">
        <v>13</v>
      </c>
      <c r="Q593" t="str">
        <f>IF(BikePurchase[[#This Row],[Purchased BikeX]]="No","Not Purchased","Purchased")</f>
        <v>Purchased</v>
      </c>
    </row>
    <row r="594" spans="1:17" x14ac:dyDescent="0.3">
      <c r="A594">
        <v>18391</v>
      </c>
      <c r="B594" t="s">
        <v>31</v>
      </c>
      <c r="C594" t="str">
        <f t="shared" si="18"/>
        <v>Single</v>
      </c>
      <c r="D594" t="s">
        <v>29</v>
      </c>
      <c r="E594" t="str">
        <f t="shared" si="19"/>
        <v>Female</v>
      </c>
      <c r="F594" s="2">
        <v>80000</v>
      </c>
      <c r="G594">
        <v>5</v>
      </c>
      <c r="H594" t="s">
        <v>16</v>
      </c>
      <c r="I594" t="s">
        <v>18</v>
      </c>
      <c r="J594" t="s">
        <v>13</v>
      </c>
      <c r="K594">
        <v>2</v>
      </c>
      <c r="L594" t="s">
        <v>20</v>
      </c>
      <c r="M594" t="s">
        <v>28</v>
      </c>
      <c r="N594" s="2">
        <v>44</v>
      </c>
      <c r="O594" t="str" cm="1">
        <f t="array" ref="O594">_xlfn.IFS(
  AND(BikePurchase[[#This Row],[Age]]&gt;=18, BikePurchase[[#This Row],[Age]]&lt;=30), "Adolescent",
  AND(BikePurchase[[#This Row],[Age]]&gt;30, BikePurchase[[#This Row],[Age]]&lt;55), "Middle Aged",
  AND(BikePurchase[[#This Row],[Age]]&gt;=55, BikePurchase[[#This Row],[Age]]&lt;90), "Old",
  TRUE, "Invalid"
)</f>
        <v>Middle Aged</v>
      </c>
      <c r="P594" t="s">
        <v>15</v>
      </c>
      <c r="Q594" t="str">
        <f>IF(BikePurchase[[#This Row],[Purchased BikeX]]="No","Not Purchased","Purchased")</f>
        <v>Not Purchased</v>
      </c>
    </row>
    <row r="595" spans="1:17" x14ac:dyDescent="0.3">
      <c r="A595">
        <v>19812</v>
      </c>
      <c r="B595" t="s">
        <v>31</v>
      </c>
      <c r="C595" t="str">
        <f t="shared" si="18"/>
        <v>Single</v>
      </c>
      <c r="D595" t="s">
        <v>29</v>
      </c>
      <c r="E595" t="str">
        <f t="shared" si="19"/>
        <v>Female</v>
      </c>
      <c r="F595" s="2">
        <v>70000</v>
      </c>
      <c r="G595">
        <v>2</v>
      </c>
      <c r="H595" t="s">
        <v>16</v>
      </c>
      <c r="I595" t="s">
        <v>18</v>
      </c>
      <c r="J595" t="s">
        <v>13</v>
      </c>
      <c r="K595">
        <v>0</v>
      </c>
      <c r="L595" t="s">
        <v>20</v>
      </c>
      <c r="M595" t="s">
        <v>28</v>
      </c>
      <c r="N595" s="2">
        <v>49</v>
      </c>
      <c r="O595" t="str" cm="1">
        <f t="array" ref="O595">_xlfn.IFS(
  AND(BikePurchase[[#This Row],[Age]]&gt;=18, BikePurchase[[#This Row],[Age]]&lt;=30), "Adolescent",
  AND(BikePurchase[[#This Row],[Age]]&gt;30, BikePurchase[[#This Row],[Age]]&lt;55), "Middle Aged",
  AND(BikePurchase[[#This Row],[Age]]&gt;=55, BikePurchase[[#This Row],[Age]]&lt;90), "Old",
  TRUE, "Invalid"
)</f>
        <v>Middle Aged</v>
      </c>
      <c r="P595" t="s">
        <v>13</v>
      </c>
      <c r="Q595" t="str">
        <f>IF(BikePurchase[[#This Row],[Purchased BikeX]]="No","Not Purchased","Purchased")</f>
        <v>Purchased</v>
      </c>
    </row>
    <row r="596" spans="1:17" x14ac:dyDescent="0.3">
      <c r="A596">
        <v>27660</v>
      </c>
      <c r="B596" t="s">
        <v>30</v>
      </c>
      <c r="C596" t="str">
        <f t="shared" si="18"/>
        <v>Married</v>
      </c>
      <c r="D596" t="s">
        <v>30</v>
      </c>
      <c r="E596" t="str">
        <f t="shared" si="19"/>
        <v>Male</v>
      </c>
      <c r="F596" s="2">
        <v>80000</v>
      </c>
      <c r="G596">
        <v>4</v>
      </c>
      <c r="H596" t="s">
        <v>27</v>
      </c>
      <c r="I596" t="s">
        <v>25</v>
      </c>
      <c r="J596" t="s">
        <v>13</v>
      </c>
      <c r="K596">
        <v>2</v>
      </c>
      <c r="L596" t="s">
        <v>20</v>
      </c>
      <c r="M596" t="s">
        <v>28</v>
      </c>
      <c r="N596" s="2">
        <v>70</v>
      </c>
      <c r="O596" t="str" cm="1">
        <f t="array" ref="O596">_xlfn.IFS(
  AND(BikePurchase[[#This Row],[Age]]&gt;=18, BikePurchase[[#This Row],[Age]]&lt;=30), "Adolescent",
  AND(BikePurchase[[#This Row],[Age]]&gt;30, BikePurchase[[#This Row],[Age]]&lt;55), "Middle Aged",
  AND(BikePurchase[[#This Row],[Age]]&gt;=55, BikePurchase[[#This Row],[Age]]&lt;90), "Old",
  TRUE, "Invalid"
)</f>
        <v>Old</v>
      </c>
      <c r="P596" t="s">
        <v>15</v>
      </c>
      <c r="Q596" t="str">
        <f>IF(BikePurchase[[#This Row],[Purchased BikeX]]="No","Not Purchased","Purchased")</f>
        <v>Not Purchased</v>
      </c>
    </row>
    <row r="597" spans="1:17" x14ac:dyDescent="0.3">
      <c r="A597">
        <v>18058</v>
      </c>
      <c r="B597" t="s">
        <v>31</v>
      </c>
      <c r="C597" t="str">
        <f t="shared" si="18"/>
        <v>Single</v>
      </c>
      <c r="D597" t="s">
        <v>29</v>
      </c>
      <c r="E597" t="str">
        <f t="shared" si="19"/>
        <v>Female</v>
      </c>
      <c r="F597" s="2">
        <v>20000</v>
      </c>
      <c r="G597">
        <v>3</v>
      </c>
      <c r="H597" t="s">
        <v>24</v>
      </c>
      <c r="I597" t="s">
        <v>12</v>
      </c>
      <c r="J597" t="s">
        <v>13</v>
      </c>
      <c r="K597">
        <v>2</v>
      </c>
      <c r="L597" t="s">
        <v>19</v>
      </c>
      <c r="M597" t="s">
        <v>28</v>
      </c>
      <c r="N597" s="2">
        <v>78</v>
      </c>
      <c r="O597" t="str" cm="1">
        <f t="array" ref="O597">_xlfn.IFS(
  AND(BikePurchase[[#This Row],[Age]]&gt;=18, BikePurchase[[#This Row],[Age]]&lt;=30), "Adolescent",
  AND(BikePurchase[[#This Row],[Age]]&gt;30, BikePurchase[[#This Row],[Age]]&lt;55), "Middle Aged",
  AND(BikePurchase[[#This Row],[Age]]&gt;=55, BikePurchase[[#This Row],[Age]]&lt;90), "Old",
  TRUE, "Invalid"
)</f>
        <v>Old</v>
      </c>
      <c r="P597" t="s">
        <v>15</v>
      </c>
      <c r="Q597" t="str">
        <f>IF(BikePurchase[[#This Row],[Purchased BikeX]]="No","Not Purchased","Purchased")</f>
        <v>Not Purchased</v>
      </c>
    </row>
    <row r="598" spans="1:17" x14ac:dyDescent="0.3">
      <c r="A598">
        <v>20343</v>
      </c>
      <c r="B598" t="s">
        <v>30</v>
      </c>
      <c r="C598" t="str">
        <f t="shared" si="18"/>
        <v>Married</v>
      </c>
      <c r="D598" t="s">
        <v>29</v>
      </c>
      <c r="E598" t="str">
        <f t="shared" si="19"/>
        <v>Female</v>
      </c>
      <c r="F598" s="2">
        <v>90000</v>
      </c>
      <c r="G598">
        <v>4</v>
      </c>
      <c r="H598" t="s">
        <v>16</v>
      </c>
      <c r="I598" t="s">
        <v>18</v>
      </c>
      <c r="J598" t="s">
        <v>13</v>
      </c>
      <c r="K598">
        <v>1</v>
      </c>
      <c r="L598" t="s">
        <v>23</v>
      </c>
      <c r="M598" t="s">
        <v>28</v>
      </c>
      <c r="N598" s="2">
        <v>45</v>
      </c>
      <c r="O598" t="str" cm="1">
        <f t="array" ref="O598">_xlfn.IFS(
  AND(BikePurchase[[#This Row],[Age]]&gt;=18, BikePurchase[[#This Row],[Age]]&lt;=30), "Adolescent",
  AND(BikePurchase[[#This Row],[Age]]&gt;30, BikePurchase[[#This Row],[Age]]&lt;55), "Middle Aged",
  AND(BikePurchase[[#This Row],[Age]]&gt;=55, BikePurchase[[#This Row],[Age]]&lt;90), "Old",
  TRUE, "Invalid"
)</f>
        <v>Middle Aged</v>
      </c>
      <c r="P598" t="s">
        <v>15</v>
      </c>
      <c r="Q598" t="str">
        <f>IF(BikePurchase[[#This Row],[Purchased BikeX]]="No","Not Purchased","Purchased")</f>
        <v>Not Purchased</v>
      </c>
    </row>
    <row r="599" spans="1:17" x14ac:dyDescent="0.3">
      <c r="A599">
        <v>28997</v>
      </c>
      <c r="B599" t="s">
        <v>31</v>
      </c>
      <c r="C599" t="str">
        <f t="shared" si="18"/>
        <v>Single</v>
      </c>
      <c r="D599" t="s">
        <v>30</v>
      </c>
      <c r="E599" t="str">
        <f t="shared" si="19"/>
        <v>Male</v>
      </c>
      <c r="F599" s="2">
        <v>40000</v>
      </c>
      <c r="G599">
        <v>2</v>
      </c>
      <c r="H599" t="s">
        <v>24</v>
      </c>
      <c r="I599" t="s">
        <v>18</v>
      </c>
      <c r="J599" t="s">
        <v>15</v>
      </c>
      <c r="K599">
        <v>1</v>
      </c>
      <c r="L599" t="s">
        <v>19</v>
      </c>
      <c r="M599" t="s">
        <v>28</v>
      </c>
      <c r="N599" s="2">
        <v>58</v>
      </c>
      <c r="O599" t="str" cm="1">
        <f t="array" ref="O599">_xlfn.IFS(
  AND(BikePurchase[[#This Row],[Age]]&gt;=18, BikePurchase[[#This Row],[Age]]&lt;=30), "Adolescent",
  AND(BikePurchase[[#This Row],[Age]]&gt;30, BikePurchase[[#This Row],[Age]]&lt;55), "Middle Aged",
  AND(BikePurchase[[#This Row],[Age]]&gt;=55, BikePurchase[[#This Row],[Age]]&lt;90), "Old",
  TRUE, "Invalid"
)</f>
        <v>Old</v>
      </c>
      <c r="P599" t="s">
        <v>13</v>
      </c>
      <c r="Q599" t="str">
        <f>IF(BikePurchase[[#This Row],[Purchased BikeX]]="No","Not Purchased","Purchased")</f>
        <v>Purchased</v>
      </c>
    </row>
    <row r="600" spans="1:17" x14ac:dyDescent="0.3">
      <c r="A600">
        <v>24398</v>
      </c>
      <c r="B600" t="s">
        <v>30</v>
      </c>
      <c r="C600" t="str">
        <f t="shared" si="18"/>
        <v>Married</v>
      </c>
      <c r="D600" t="s">
        <v>30</v>
      </c>
      <c r="E600" t="str">
        <f t="shared" si="19"/>
        <v>Male</v>
      </c>
      <c r="F600" s="2">
        <v>130000</v>
      </c>
      <c r="G600">
        <v>1</v>
      </c>
      <c r="H600" t="s">
        <v>27</v>
      </c>
      <c r="I600" t="s">
        <v>25</v>
      </c>
      <c r="J600" t="s">
        <v>13</v>
      </c>
      <c r="K600">
        <v>4</v>
      </c>
      <c r="L600" t="s">
        <v>35</v>
      </c>
      <c r="M600" t="s">
        <v>28</v>
      </c>
      <c r="N600" s="2">
        <v>41</v>
      </c>
      <c r="O600" t="str" cm="1">
        <f t="array" ref="O600">_xlfn.IFS(
  AND(BikePurchase[[#This Row],[Age]]&gt;=18, BikePurchase[[#This Row],[Age]]&lt;=30), "Adolescent",
  AND(BikePurchase[[#This Row],[Age]]&gt;30, BikePurchase[[#This Row],[Age]]&lt;55), "Middle Aged",
  AND(BikePurchase[[#This Row],[Age]]&gt;=55, BikePurchase[[#This Row],[Age]]&lt;90), "Old",
  TRUE, "Invalid"
)</f>
        <v>Middle Aged</v>
      </c>
      <c r="P600" t="s">
        <v>15</v>
      </c>
      <c r="Q600" t="str">
        <f>IF(BikePurchase[[#This Row],[Purchased BikeX]]="No","Not Purchased","Purchased")</f>
        <v>Not Purchased</v>
      </c>
    </row>
    <row r="601" spans="1:17" x14ac:dyDescent="0.3">
      <c r="A601">
        <v>19002</v>
      </c>
      <c r="B601" t="s">
        <v>30</v>
      </c>
      <c r="C601" t="str">
        <f t="shared" si="18"/>
        <v>Married</v>
      </c>
      <c r="D601" t="s">
        <v>29</v>
      </c>
      <c r="E601" t="str">
        <f t="shared" si="19"/>
        <v>Female</v>
      </c>
      <c r="F601" s="2">
        <v>60000</v>
      </c>
      <c r="G601">
        <v>2</v>
      </c>
      <c r="H601" t="s">
        <v>16</v>
      </c>
      <c r="I601" t="s">
        <v>18</v>
      </c>
      <c r="J601" t="s">
        <v>13</v>
      </c>
      <c r="K601">
        <v>1</v>
      </c>
      <c r="L601" t="s">
        <v>19</v>
      </c>
      <c r="M601" t="s">
        <v>28</v>
      </c>
      <c r="N601" s="2">
        <v>57</v>
      </c>
      <c r="O601" t="str" cm="1">
        <f t="array" ref="O601">_xlfn.IFS(
  AND(BikePurchase[[#This Row],[Age]]&gt;=18, BikePurchase[[#This Row],[Age]]&lt;=30), "Adolescent",
  AND(BikePurchase[[#This Row],[Age]]&gt;30, BikePurchase[[#This Row],[Age]]&lt;55), "Middle Aged",
  AND(BikePurchase[[#This Row],[Age]]&gt;=55, BikePurchase[[#This Row],[Age]]&lt;90), "Old",
  TRUE, "Invalid"
)</f>
        <v>Old</v>
      </c>
      <c r="P601" t="s">
        <v>13</v>
      </c>
      <c r="Q601" t="str">
        <f>IF(BikePurchase[[#This Row],[Purchased BikeX]]="No","Not Purchased","Purchased")</f>
        <v>Purchased</v>
      </c>
    </row>
    <row r="602" spans="1:17" x14ac:dyDescent="0.3">
      <c r="A602">
        <v>28609</v>
      </c>
      <c r="B602" t="s">
        <v>30</v>
      </c>
      <c r="C602" t="str">
        <f t="shared" si="18"/>
        <v>Married</v>
      </c>
      <c r="D602" t="s">
        <v>30</v>
      </c>
      <c r="E602" t="str">
        <f t="shared" si="19"/>
        <v>Male</v>
      </c>
      <c r="F602" s="2">
        <v>30000</v>
      </c>
      <c r="G602">
        <v>2</v>
      </c>
      <c r="H602" t="s">
        <v>24</v>
      </c>
      <c r="I602" t="s">
        <v>12</v>
      </c>
      <c r="J602" t="s">
        <v>15</v>
      </c>
      <c r="K602">
        <v>2</v>
      </c>
      <c r="L602" t="s">
        <v>35</v>
      </c>
      <c r="M602" t="s">
        <v>28</v>
      </c>
      <c r="N602" s="2">
        <v>49</v>
      </c>
      <c r="O602" t="str" cm="1">
        <f t="array" ref="O602">_xlfn.IFS(
  AND(BikePurchase[[#This Row],[Age]]&gt;=18, BikePurchase[[#This Row],[Age]]&lt;=30), "Adolescent",
  AND(BikePurchase[[#This Row],[Age]]&gt;30, BikePurchase[[#This Row],[Age]]&lt;55), "Middle Aged",
  AND(BikePurchase[[#This Row],[Age]]&gt;=55, BikePurchase[[#This Row],[Age]]&lt;90), "Old",
  TRUE, "Invalid"
)</f>
        <v>Middle Aged</v>
      </c>
      <c r="P602" t="s">
        <v>15</v>
      </c>
      <c r="Q602" t="str">
        <f>IF(BikePurchase[[#This Row],[Purchased BikeX]]="No","Not Purchased","Purchased")</f>
        <v>Not Purchased</v>
      </c>
    </row>
    <row r="603" spans="1:17" x14ac:dyDescent="0.3">
      <c r="A603">
        <v>29231</v>
      </c>
      <c r="B603" t="s">
        <v>31</v>
      </c>
      <c r="C603" t="str">
        <f t="shared" si="18"/>
        <v>Single</v>
      </c>
      <c r="D603" t="s">
        <v>30</v>
      </c>
      <c r="E603" t="str">
        <f t="shared" si="19"/>
        <v>Male</v>
      </c>
      <c r="F603" s="2">
        <v>80000</v>
      </c>
      <c r="G603">
        <v>4</v>
      </c>
      <c r="H603" t="s">
        <v>16</v>
      </c>
      <c r="I603" t="s">
        <v>18</v>
      </c>
      <c r="J603" t="s">
        <v>15</v>
      </c>
      <c r="K603">
        <v>2</v>
      </c>
      <c r="L603" t="s">
        <v>35</v>
      </c>
      <c r="M603" t="s">
        <v>28</v>
      </c>
      <c r="N603" s="2">
        <v>43</v>
      </c>
      <c r="O603" t="str" cm="1">
        <f t="array" ref="O603">_xlfn.IFS(
  AND(BikePurchase[[#This Row],[Age]]&gt;=18, BikePurchase[[#This Row],[Age]]&lt;=30), "Adolescent",
  AND(BikePurchase[[#This Row],[Age]]&gt;30, BikePurchase[[#This Row],[Age]]&lt;55), "Middle Aged",
  AND(BikePurchase[[#This Row],[Age]]&gt;=55, BikePurchase[[#This Row],[Age]]&lt;90), "Old",
  TRUE, "Invalid"
)</f>
        <v>Middle Aged</v>
      </c>
      <c r="P603" t="s">
        <v>15</v>
      </c>
      <c r="Q603" t="str">
        <f>IF(BikePurchase[[#This Row],[Purchased BikeX]]="No","Not Purchased","Purchased")</f>
        <v>Not Purchased</v>
      </c>
    </row>
    <row r="604" spans="1:17" x14ac:dyDescent="0.3">
      <c r="A604">
        <v>18858</v>
      </c>
      <c r="B604" t="s">
        <v>31</v>
      </c>
      <c r="C604" t="str">
        <f t="shared" si="18"/>
        <v>Single</v>
      </c>
      <c r="D604" t="s">
        <v>30</v>
      </c>
      <c r="E604" t="str">
        <f t="shared" si="19"/>
        <v>Male</v>
      </c>
      <c r="F604" s="2">
        <v>60000</v>
      </c>
      <c r="G604">
        <v>2</v>
      </c>
      <c r="H604" t="s">
        <v>26</v>
      </c>
      <c r="I604" t="s">
        <v>12</v>
      </c>
      <c r="J604" t="s">
        <v>13</v>
      </c>
      <c r="K604">
        <v>2</v>
      </c>
      <c r="L604" t="s">
        <v>20</v>
      </c>
      <c r="M604" t="s">
        <v>28</v>
      </c>
      <c r="N604" s="2">
        <v>52</v>
      </c>
      <c r="O604" t="str" cm="1">
        <f t="array" ref="O604">_xlfn.IFS(
  AND(BikePurchase[[#This Row],[Age]]&gt;=18, BikePurchase[[#This Row],[Age]]&lt;=30), "Adolescent",
  AND(BikePurchase[[#This Row],[Age]]&gt;30, BikePurchase[[#This Row],[Age]]&lt;55), "Middle Aged",
  AND(BikePurchase[[#This Row],[Age]]&gt;=55, BikePurchase[[#This Row],[Age]]&lt;90), "Old",
  TRUE, "Invalid"
)</f>
        <v>Middle Aged</v>
      </c>
      <c r="P604" t="s">
        <v>13</v>
      </c>
      <c r="Q604" t="str">
        <f>IF(BikePurchase[[#This Row],[Purchased BikeX]]="No","Not Purchased","Purchased")</f>
        <v>Purchased</v>
      </c>
    </row>
    <row r="605" spans="1:17" x14ac:dyDescent="0.3">
      <c r="A605">
        <v>20000</v>
      </c>
      <c r="B605" t="s">
        <v>30</v>
      </c>
      <c r="C605" t="str">
        <f t="shared" si="18"/>
        <v>Married</v>
      </c>
      <c r="D605" t="s">
        <v>30</v>
      </c>
      <c r="E605" t="str">
        <f t="shared" si="19"/>
        <v>Male</v>
      </c>
      <c r="F605" s="2">
        <v>60000</v>
      </c>
      <c r="G605">
        <v>1</v>
      </c>
      <c r="H605" t="s">
        <v>27</v>
      </c>
      <c r="I605" t="s">
        <v>18</v>
      </c>
      <c r="J605" t="s">
        <v>13</v>
      </c>
      <c r="K605">
        <v>0</v>
      </c>
      <c r="L605" t="s">
        <v>35</v>
      </c>
      <c r="M605" t="s">
        <v>28</v>
      </c>
      <c r="N605" s="2">
        <v>35</v>
      </c>
      <c r="O605" t="str" cm="1">
        <f t="array" ref="O605">_xlfn.IFS(
  AND(BikePurchase[[#This Row],[Age]]&gt;=18, BikePurchase[[#This Row],[Age]]&lt;=30), "Adolescent",
  AND(BikePurchase[[#This Row],[Age]]&gt;30, BikePurchase[[#This Row],[Age]]&lt;55), "Middle Aged",
  AND(BikePurchase[[#This Row],[Age]]&gt;=55, BikePurchase[[#This Row],[Age]]&lt;90), "Old",
  TRUE, "Invalid"
)</f>
        <v>Middle Aged</v>
      </c>
      <c r="P605" t="s">
        <v>13</v>
      </c>
      <c r="Q605" t="str">
        <f>IF(BikePurchase[[#This Row],[Purchased BikeX]]="No","Not Purchased","Purchased")</f>
        <v>Purchased</v>
      </c>
    </row>
    <row r="606" spans="1:17" x14ac:dyDescent="0.3">
      <c r="A606">
        <v>25261</v>
      </c>
      <c r="B606" t="s">
        <v>30</v>
      </c>
      <c r="C606" t="str">
        <f t="shared" si="18"/>
        <v>Married</v>
      </c>
      <c r="D606" t="s">
        <v>30</v>
      </c>
      <c r="E606" t="str">
        <f t="shared" si="19"/>
        <v>Male</v>
      </c>
      <c r="F606" s="2">
        <v>40000</v>
      </c>
      <c r="G606">
        <v>0</v>
      </c>
      <c r="H606" t="s">
        <v>24</v>
      </c>
      <c r="I606" t="s">
        <v>12</v>
      </c>
      <c r="J606" t="s">
        <v>13</v>
      </c>
      <c r="K606">
        <v>2</v>
      </c>
      <c r="L606" t="s">
        <v>20</v>
      </c>
      <c r="M606" t="s">
        <v>28</v>
      </c>
      <c r="N606" s="2">
        <v>27</v>
      </c>
      <c r="O606" t="str" cm="1">
        <f t="array" ref="O606">_xlfn.IFS(
  AND(BikePurchase[[#This Row],[Age]]&gt;=18, BikePurchase[[#This Row],[Age]]&lt;=30), "Adolescent",
  AND(BikePurchase[[#This Row],[Age]]&gt;30, BikePurchase[[#This Row],[Age]]&lt;55), "Middle Aged",
  AND(BikePurchase[[#This Row],[Age]]&gt;=55, BikePurchase[[#This Row],[Age]]&lt;90), "Old",
  TRUE, "Invalid"
)</f>
        <v>Adolescent</v>
      </c>
      <c r="P606" t="s">
        <v>15</v>
      </c>
      <c r="Q606" t="str">
        <f>IF(BikePurchase[[#This Row],[Purchased BikeX]]="No","Not Purchased","Purchased")</f>
        <v>Not Purchased</v>
      </c>
    </row>
    <row r="607" spans="1:17" x14ac:dyDescent="0.3">
      <c r="A607">
        <v>17458</v>
      </c>
      <c r="B607" t="s">
        <v>31</v>
      </c>
      <c r="C607" t="str">
        <f t="shared" si="18"/>
        <v>Single</v>
      </c>
      <c r="D607" t="s">
        <v>30</v>
      </c>
      <c r="E607" t="str">
        <f t="shared" si="19"/>
        <v>Male</v>
      </c>
      <c r="F607" s="2">
        <v>70000</v>
      </c>
      <c r="G607">
        <v>3</v>
      </c>
      <c r="H607" t="s">
        <v>24</v>
      </c>
      <c r="I607" t="s">
        <v>18</v>
      </c>
      <c r="J607" t="s">
        <v>13</v>
      </c>
      <c r="K607">
        <v>0</v>
      </c>
      <c r="L607" t="s">
        <v>20</v>
      </c>
      <c r="M607" t="s">
        <v>28</v>
      </c>
      <c r="N607" s="2">
        <v>52</v>
      </c>
      <c r="O607" t="str" cm="1">
        <f t="array" ref="O607">_xlfn.IFS(
  AND(BikePurchase[[#This Row],[Age]]&gt;=18, BikePurchase[[#This Row],[Age]]&lt;=30), "Adolescent",
  AND(BikePurchase[[#This Row],[Age]]&gt;30, BikePurchase[[#This Row],[Age]]&lt;55), "Middle Aged",
  AND(BikePurchase[[#This Row],[Age]]&gt;=55, BikePurchase[[#This Row],[Age]]&lt;90), "Old",
  TRUE, "Invalid"
)</f>
        <v>Middle Aged</v>
      </c>
      <c r="P607" t="s">
        <v>13</v>
      </c>
      <c r="Q607" t="str">
        <f>IF(BikePurchase[[#This Row],[Purchased BikeX]]="No","Not Purchased","Purchased")</f>
        <v>Purchased</v>
      </c>
    </row>
    <row r="608" spans="1:17" x14ac:dyDescent="0.3">
      <c r="A608">
        <v>11644</v>
      </c>
      <c r="B608" t="s">
        <v>31</v>
      </c>
      <c r="C608" t="str">
        <f t="shared" si="18"/>
        <v>Single</v>
      </c>
      <c r="D608" t="s">
        <v>30</v>
      </c>
      <c r="E608" t="str">
        <f t="shared" si="19"/>
        <v>Male</v>
      </c>
      <c r="F608" s="2">
        <v>40000</v>
      </c>
      <c r="G608">
        <v>2</v>
      </c>
      <c r="H608" t="s">
        <v>11</v>
      </c>
      <c r="I608" t="s">
        <v>12</v>
      </c>
      <c r="J608" t="s">
        <v>13</v>
      </c>
      <c r="K608">
        <v>0</v>
      </c>
      <c r="L608" t="s">
        <v>19</v>
      </c>
      <c r="M608" t="s">
        <v>28</v>
      </c>
      <c r="N608" s="2">
        <v>36</v>
      </c>
      <c r="O608" t="str" cm="1">
        <f t="array" ref="O608">_xlfn.IFS(
  AND(BikePurchase[[#This Row],[Age]]&gt;=18, BikePurchase[[#This Row],[Age]]&lt;=30), "Adolescent",
  AND(BikePurchase[[#This Row],[Age]]&gt;30, BikePurchase[[#This Row],[Age]]&lt;55), "Middle Aged",
  AND(BikePurchase[[#This Row],[Age]]&gt;=55, BikePurchase[[#This Row],[Age]]&lt;90), "Old",
  TRUE, "Invalid"
)</f>
        <v>Middle Aged</v>
      </c>
      <c r="P608" t="s">
        <v>15</v>
      </c>
      <c r="Q608" t="str">
        <f>IF(BikePurchase[[#This Row],[Purchased BikeX]]="No","Not Purchased","Purchased")</f>
        <v>Not Purchased</v>
      </c>
    </row>
    <row r="609" spans="1:17" x14ac:dyDescent="0.3">
      <c r="A609">
        <v>16145</v>
      </c>
      <c r="B609" t="s">
        <v>31</v>
      </c>
      <c r="C609" t="str">
        <f t="shared" si="18"/>
        <v>Single</v>
      </c>
      <c r="D609" t="s">
        <v>29</v>
      </c>
      <c r="E609" t="str">
        <f t="shared" si="19"/>
        <v>Female</v>
      </c>
      <c r="F609" s="2">
        <v>70000</v>
      </c>
      <c r="G609">
        <v>5</v>
      </c>
      <c r="H609" t="s">
        <v>27</v>
      </c>
      <c r="I609" t="s">
        <v>18</v>
      </c>
      <c r="J609" t="s">
        <v>13</v>
      </c>
      <c r="K609">
        <v>3</v>
      </c>
      <c r="L609" t="s">
        <v>48</v>
      </c>
      <c r="M609" t="s">
        <v>28</v>
      </c>
      <c r="N609" s="2">
        <v>46</v>
      </c>
      <c r="O609" t="str" cm="1">
        <f t="array" ref="O609">_xlfn.IFS(
  AND(BikePurchase[[#This Row],[Age]]&gt;=18, BikePurchase[[#This Row],[Age]]&lt;=30), "Adolescent",
  AND(BikePurchase[[#This Row],[Age]]&gt;30, BikePurchase[[#This Row],[Age]]&lt;55), "Middle Aged",
  AND(BikePurchase[[#This Row],[Age]]&gt;=55, BikePurchase[[#This Row],[Age]]&lt;90), "Old",
  TRUE, "Invalid"
)</f>
        <v>Middle Aged</v>
      </c>
      <c r="P609" t="s">
        <v>13</v>
      </c>
      <c r="Q609" t="str">
        <f>IF(BikePurchase[[#This Row],[Purchased BikeX]]="No","Not Purchased","Purchased")</f>
        <v>Purchased</v>
      </c>
    </row>
    <row r="610" spans="1:17" x14ac:dyDescent="0.3">
      <c r="A610">
        <v>16890</v>
      </c>
      <c r="B610" t="s">
        <v>30</v>
      </c>
      <c r="C610" t="str">
        <f t="shared" si="18"/>
        <v>Married</v>
      </c>
      <c r="D610" t="s">
        <v>30</v>
      </c>
      <c r="E610" t="str">
        <f t="shared" si="19"/>
        <v>Male</v>
      </c>
      <c r="F610" s="2">
        <v>60000</v>
      </c>
      <c r="G610">
        <v>3</v>
      </c>
      <c r="H610" t="s">
        <v>26</v>
      </c>
      <c r="I610" t="s">
        <v>12</v>
      </c>
      <c r="J610" t="s">
        <v>13</v>
      </c>
      <c r="K610">
        <v>2</v>
      </c>
      <c r="L610" t="s">
        <v>20</v>
      </c>
      <c r="M610" t="s">
        <v>28</v>
      </c>
      <c r="N610" s="2">
        <v>52</v>
      </c>
      <c r="O610" t="str" cm="1">
        <f t="array" ref="O610">_xlfn.IFS(
  AND(BikePurchase[[#This Row],[Age]]&gt;=18, BikePurchase[[#This Row],[Age]]&lt;=30), "Adolescent",
  AND(BikePurchase[[#This Row],[Age]]&gt;30, BikePurchase[[#This Row],[Age]]&lt;55), "Middle Aged",
  AND(BikePurchase[[#This Row],[Age]]&gt;=55, BikePurchase[[#This Row],[Age]]&lt;90), "Old",
  TRUE, "Invalid"
)</f>
        <v>Middle Aged</v>
      </c>
      <c r="P610" t="s">
        <v>13</v>
      </c>
      <c r="Q610" t="str">
        <f>IF(BikePurchase[[#This Row],[Purchased BikeX]]="No","Not Purchased","Purchased")</f>
        <v>Purchased</v>
      </c>
    </row>
    <row r="611" spans="1:17" x14ac:dyDescent="0.3">
      <c r="A611">
        <v>25983</v>
      </c>
      <c r="B611" t="s">
        <v>30</v>
      </c>
      <c r="C611" t="str">
        <f t="shared" si="18"/>
        <v>Married</v>
      </c>
      <c r="D611" t="s">
        <v>30</v>
      </c>
      <c r="E611" t="str">
        <f t="shared" si="19"/>
        <v>Male</v>
      </c>
      <c r="F611" s="2">
        <v>70000</v>
      </c>
      <c r="G611">
        <v>0</v>
      </c>
      <c r="H611" t="s">
        <v>11</v>
      </c>
      <c r="I611" t="s">
        <v>18</v>
      </c>
      <c r="J611" t="s">
        <v>15</v>
      </c>
      <c r="K611">
        <v>1</v>
      </c>
      <c r="L611" t="s">
        <v>35</v>
      </c>
      <c r="M611" t="s">
        <v>28</v>
      </c>
      <c r="N611" s="2">
        <v>43</v>
      </c>
      <c r="O611" t="str" cm="1">
        <f t="array" ref="O611">_xlfn.IFS(
  AND(BikePurchase[[#This Row],[Age]]&gt;=18, BikePurchase[[#This Row],[Age]]&lt;=30), "Adolescent",
  AND(BikePurchase[[#This Row],[Age]]&gt;30, BikePurchase[[#This Row],[Age]]&lt;55), "Middle Aged",
  AND(BikePurchase[[#This Row],[Age]]&gt;=55, BikePurchase[[#This Row],[Age]]&lt;90), "Old",
  TRUE, "Invalid"
)</f>
        <v>Middle Aged</v>
      </c>
      <c r="P611" t="s">
        <v>15</v>
      </c>
      <c r="Q611" t="str">
        <f>IF(BikePurchase[[#This Row],[Purchased BikeX]]="No","Not Purchased","Purchased")</f>
        <v>Not Purchased</v>
      </c>
    </row>
    <row r="612" spans="1:17" x14ac:dyDescent="0.3">
      <c r="A612">
        <v>14633</v>
      </c>
      <c r="B612" t="s">
        <v>30</v>
      </c>
      <c r="C612" t="str">
        <f t="shared" si="18"/>
        <v>Married</v>
      </c>
      <c r="D612" t="s">
        <v>30</v>
      </c>
      <c r="E612" t="str">
        <f t="shared" si="19"/>
        <v>Male</v>
      </c>
      <c r="F612" s="2">
        <v>60000</v>
      </c>
      <c r="G612">
        <v>1</v>
      </c>
      <c r="H612" t="s">
        <v>16</v>
      </c>
      <c r="I612" t="s">
        <v>12</v>
      </c>
      <c r="J612" t="s">
        <v>13</v>
      </c>
      <c r="K612">
        <v>1</v>
      </c>
      <c r="L612" t="s">
        <v>19</v>
      </c>
      <c r="M612" t="s">
        <v>28</v>
      </c>
      <c r="N612" s="2">
        <v>44</v>
      </c>
      <c r="O612" t="str" cm="1">
        <f t="array" ref="O612">_xlfn.IFS(
  AND(BikePurchase[[#This Row],[Age]]&gt;=18, BikePurchase[[#This Row],[Age]]&lt;=30), "Adolescent",
  AND(BikePurchase[[#This Row],[Age]]&gt;30, BikePurchase[[#This Row],[Age]]&lt;55), "Middle Aged",
  AND(BikePurchase[[#This Row],[Age]]&gt;=55, BikePurchase[[#This Row],[Age]]&lt;90), "Old",
  TRUE, "Invalid"
)</f>
        <v>Middle Aged</v>
      </c>
      <c r="P612" t="s">
        <v>15</v>
      </c>
      <c r="Q612" t="str">
        <f>IF(BikePurchase[[#This Row],[Purchased BikeX]]="No","Not Purchased","Purchased")</f>
        <v>Not Purchased</v>
      </c>
    </row>
    <row r="613" spans="1:17" x14ac:dyDescent="0.3">
      <c r="A613">
        <v>22994</v>
      </c>
      <c r="B613" t="s">
        <v>30</v>
      </c>
      <c r="C613" t="str">
        <f t="shared" si="18"/>
        <v>Married</v>
      </c>
      <c r="D613" t="s">
        <v>29</v>
      </c>
      <c r="E613" t="str">
        <f t="shared" si="19"/>
        <v>Female</v>
      </c>
      <c r="F613" s="2">
        <v>80000</v>
      </c>
      <c r="G613">
        <v>0</v>
      </c>
      <c r="H613" t="s">
        <v>11</v>
      </c>
      <c r="I613" t="s">
        <v>25</v>
      </c>
      <c r="J613" t="s">
        <v>13</v>
      </c>
      <c r="K613">
        <v>1</v>
      </c>
      <c r="L613" t="s">
        <v>23</v>
      </c>
      <c r="M613" t="s">
        <v>28</v>
      </c>
      <c r="N613" s="2">
        <v>34</v>
      </c>
      <c r="O613" t="str" cm="1">
        <f t="array" ref="O613">_xlfn.IFS(
  AND(BikePurchase[[#This Row],[Age]]&gt;=18, BikePurchase[[#This Row],[Age]]&lt;=30), "Adolescent",
  AND(BikePurchase[[#This Row],[Age]]&gt;30, BikePurchase[[#This Row],[Age]]&lt;55), "Middle Aged",
  AND(BikePurchase[[#This Row],[Age]]&gt;=55, BikePurchase[[#This Row],[Age]]&lt;90), "Old",
  TRUE, "Invalid"
)</f>
        <v>Middle Aged</v>
      </c>
      <c r="P613" t="s">
        <v>13</v>
      </c>
      <c r="Q613" t="str">
        <f>IF(BikePurchase[[#This Row],[Purchased BikeX]]="No","Not Purchased","Purchased")</f>
        <v>Purchased</v>
      </c>
    </row>
    <row r="614" spans="1:17" x14ac:dyDescent="0.3">
      <c r="A614">
        <v>22983</v>
      </c>
      <c r="B614" t="s">
        <v>31</v>
      </c>
      <c r="C614" t="str">
        <f t="shared" si="18"/>
        <v>Single</v>
      </c>
      <c r="D614" t="s">
        <v>29</v>
      </c>
      <c r="E614" t="str">
        <f t="shared" si="19"/>
        <v>Female</v>
      </c>
      <c r="F614" s="2">
        <v>30000</v>
      </c>
      <c r="G614">
        <v>0</v>
      </c>
      <c r="H614" t="s">
        <v>26</v>
      </c>
      <c r="I614" t="s">
        <v>17</v>
      </c>
      <c r="J614" t="s">
        <v>13</v>
      </c>
      <c r="K614">
        <v>2</v>
      </c>
      <c r="L614" t="s">
        <v>20</v>
      </c>
      <c r="M614" t="s">
        <v>28</v>
      </c>
      <c r="N614" s="2">
        <v>27</v>
      </c>
      <c r="O614" t="str" cm="1">
        <f t="array" ref="O614">_xlfn.IFS(
  AND(BikePurchase[[#This Row],[Age]]&gt;=18, BikePurchase[[#This Row],[Age]]&lt;=30), "Adolescent",
  AND(BikePurchase[[#This Row],[Age]]&gt;30, BikePurchase[[#This Row],[Age]]&lt;55), "Middle Aged",
  AND(BikePurchase[[#This Row],[Age]]&gt;=55, BikePurchase[[#This Row],[Age]]&lt;90), "Old",
  TRUE, "Invalid"
)</f>
        <v>Adolescent</v>
      </c>
      <c r="P614" t="s">
        <v>15</v>
      </c>
      <c r="Q614" t="str">
        <f>IF(BikePurchase[[#This Row],[Purchased BikeX]]="No","Not Purchased","Purchased")</f>
        <v>Not Purchased</v>
      </c>
    </row>
    <row r="615" spans="1:17" x14ac:dyDescent="0.3">
      <c r="A615">
        <v>25184</v>
      </c>
      <c r="B615" t="s">
        <v>31</v>
      </c>
      <c r="C615" t="str">
        <f t="shared" si="18"/>
        <v>Single</v>
      </c>
      <c r="D615" t="s">
        <v>30</v>
      </c>
      <c r="E615" t="str">
        <f t="shared" si="19"/>
        <v>Male</v>
      </c>
      <c r="F615" s="2">
        <v>110000</v>
      </c>
      <c r="G615">
        <v>1</v>
      </c>
      <c r="H615" t="s">
        <v>16</v>
      </c>
      <c r="I615" t="s">
        <v>18</v>
      </c>
      <c r="J615" t="s">
        <v>13</v>
      </c>
      <c r="K615">
        <v>4</v>
      </c>
      <c r="L615" t="s">
        <v>20</v>
      </c>
      <c r="M615" t="s">
        <v>28</v>
      </c>
      <c r="N615" s="2">
        <v>45</v>
      </c>
      <c r="O615" t="str" cm="1">
        <f t="array" ref="O615">_xlfn.IFS(
  AND(BikePurchase[[#This Row],[Age]]&gt;=18, BikePurchase[[#This Row],[Age]]&lt;=30), "Adolescent",
  AND(BikePurchase[[#This Row],[Age]]&gt;30, BikePurchase[[#This Row],[Age]]&lt;55), "Middle Aged",
  AND(BikePurchase[[#This Row],[Age]]&gt;=55, BikePurchase[[#This Row],[Age]]&lt;90), "Old",
  TRUE, "Invalid"
)</f>
        <v>Middle Aged</v>
      </c>
      <c r="P615" t="s">
        <v>13</v>
      </c>
      <c r="Q615" t="str">
        <f>IF(BikePurchase[[#This Row],[Purchased BikeX]]="No","Not Purchased","Purchased")</f>
        <v>Purchased</v>
      </c>
    </row>
    <row r="616" spans="1:17" x14ac:dyDescent="0.3">
      <c r="A616">
        <v>14469</v>
      </c>
      <c r="B616" t="s">
        <v>30</v>
      </c>
      <c r="C616" t="str">
        <f t="shared" si="18"/>
        <v>Married</v>
      </c>
      <c r="D616" t="s">
        <v>29</v>
      </c>
      <c r="E616" t="str">
        <f t="shared" si="19"/>
        <v>Female</v>
      </c>
      <c r="F616" s="2">
        <v>100000</v>
      </c>
      <c r="G616">
        <v>3</v>
      </c>
      <c r="H616" t="s">
        <v>16</v>
      </c>
      <c r="I616" t="s">
        <v>18</v>
      </c>
      <c r="J616" t="s">
        <v>13</v>
      </c>
      <c r="K616">
        <v>4</v>
      </c>
      <c r="L616" t="s">
        <v>23</v>
      </c>
      <c r="M616" t="s">
        <v>28</v>
      </c>
      <c r="N616" s="2">
        <v>45</v>
      </c>
      <c r="O616" t="str" cm="1">
        <f t="array" ref="O616">_xlfn.IFS(
  AND(BikePurchase[[#This Row],[Age]]&gt;=18, BikePurchase[[#This Row],[Age]]&lt;=30), "Adolescent",
  AND(BikePurchase[[#This Row],[Age]]&gt;30, BikePurchase[[#This Row],[Age]]&lt;55), "Middle Aged",
  AND(BikePurchase[[#This Row],[Age]]&gt;=55, BikePurchase[[#This Row],[Age]]&lt;90), "Old",
  TRUE, "Invalid"
)</f>
        <v>Middle Aged</v>
      </c>
      <c r="P616" t="s">
        <v>15</v>
      </c>
      <c r="Q616" t="str">
        <f>IF(BikePurchase[[#This Row],[Purchased BikeX]]="No","Not Purchased","Purchased")</f>
        <v>Not Purchased</v>
      </c>
    </row>
    <row r="617" spans="1:17" x14ac:dyDescent="0.3">
      <c r="A617">
        <v>11538</v>
      </c>
      <c r="B617" t="s">
        <v>31</v>
      </c>
      <c r="C617" t="str">
        <f t="shared" si="18"/>
        <v>Single</v>
      </c>
      <c r="D617" t="s">
        <v>29</v>
      </c>
      <c r="E617" t="str">
        <f t="shared" si="19"/>
        <v>Female</v>
      </c>
      <c r="F617" s="2">
        <v>60000</v>
      </c>
      <c r="G617">
        <v>4</v>
      </c>
      <c r="H617" t="s">
        <v>27</v>
      </c>
      <c r="I617" t="s">
        <v>12</v>
      </c>
      <c r="J617" t="s">
        <v>15</v>
      </c>
      <c r="K617">
        <v>0</v>
      </c>
      <c r="L617" t="s">
        <v>35</v>
      </c>
      <c r="M617" t="s">
        <v>28</v>
      </c>
      <c r="N617" s="2">
        <v>47</v>
      </c>
      <c r="O617" t="str" cm="1">
        <f t="array" ref="O617">_xlfn.IFS(
  AND(BikePurchase[[#This Row],[Age]]&gt;=18, BikePurchase[[#This Row],[Age]]&lt;=30), "Adolescent",
  AND(BikePurchase[[#This Row],[Age]]&gt;30, BikePurchase[[#This Row],[Age]]&lt;55), "Middle Aged",
  AND(BikePurchase[[#This Row],[Age]]&gt;=55, BikePurchase[[#This Row],[Age]]&lt;90), "Old",
  TRUE, "Invalid"
)</f>
        <v>Middle Aged</v>
      </c>
      <c r="P617" t="s">
        <v>13</v>
      </c>
      <c r="Q617" t="str">
        <f>IF(BikePurchase[[#This Row],[Purchased BikeX]]="No","Not Purchased","Purchased")</f>
        <v>Purchased</v>
      </c>
    </row>
    <row r="618" spans="1:17" x14ac:dyDescent="0.3">
      <c r="A618">
        <v>16245</v>
      </c>
      <c r="B618" t="s">
        <v>31</v>
      </c>
      <c r="C618" t="str">
        <f t="shared" si="18"/>
        <v>Single</v>
      </c>
      <c r="D618" t="s">
        <v>29</v>
      </c>
      <c r="E618" t="str">
        <f t="shared" si="19"/>
        <v>Female</v>
      </c>
      <c r="F618" s="2">
        <v>80000</v>
      </c>
      <c r="G618">
        <v>4</v>
      </c>
      <c r="H618" t="s">
        <v>27</v>
      </c>
      <c r="I618" t="s">
        <v>12</v>
      </c>
      <c r="J618" t="s">
        <v>13</v>
      </c>
      <c r="K618">
        <v>0</v>
      </c>
      <c r="L618" t="s">
        <v>23</v>
      </c>
      <c r="M618" t="s">
        <v>28</v>
      </c>
      <c r="N618" s="2">
        <v>47</v>
      </c>
      <c r="O618" t="str" cm="1">
        <f t="array" ref="O618">_xlfn.IFS(
  AND(BikePurchase[[#This Row],[Age]]&gt;=18, BikePurchase[[#This Row],[Age]]&lt;=30), "Adolescent",
  AND(BikePurchase[[#This Row],[Age]]&gt;30, BikePurchase[[#This Row],[Age]]&lt;55), "Middle Aged",
  AND(BikePurchase[[#This Row],[Age]]&gt;=55, BikePurchase[[#This Row],[Age]]&lt;90), "Old",
  TRUE, "Invalid"
)</f>
        <v>Middle Aged</v>
      </c>
      <c r="P618" t="s">
        <v>15</v>
      </c>
      <c r="Q618" t="str">
        <f>IF(BikePurchase[[#This Row],[Purchased BikeX]]="No","Not Purchased","Purchased")</f>
        <v>Not Purchased</v>
      </c>
    </row>
    <row r="619" spans="1:17" x14ac:dyDescent="0.3">
      <c r="A619">
        <v>17858</v>
      </c>
      <c r="B619" t="s">
        <v>30</v>
      </c>
      <c r="C619" t="str">
        <f t="shared" si="18"/>
        <v>Married</v>
      </c>
      <c r="D619" t="s">
        <v>30</v>
      </c>
      <c r="E619" t="str">
        <f t="shared" si="19"/>
        <v>Male</v>
      </c>
      <c r="F619" s="2">
        <v>40000</v>
      </c>
      <c r="G619">
        <v>4</v>
      </c>
      <c r="H619" t="s">
        <v>24</v>
      </c>
      <c r="I619" t="s">
        <v>12</v>
      </c>
      <c r="J619" t="s">
        <v>13</v>
      </c>
      <c r="K619">
        <v>2</v>
      </c>
      <c r="L619" t="s">
        <v>19</v>
      </c>
      <c r="M619" t="s">
        <v>28</v>
      </c>
      <c r="N619" s="2">
        <v>44</v>
      </c>
      <c r="O619" t="str" cm="1">
        <f t="array" ref="O619">_xlfn.IFS(
  AND(BikePurchase[[#This Row],[Age]]&gt;=18, BikePurchase[[#This Row],[Age]]&lt;=30), "Adolescent",
  AND(BikePurchase[[#This Row],[Age]]&gt;30, BikePurchase[[#This Row],[Age]]&lt;55), "Middle Aged",
  AND(BikePurchase[[#This Row],[Age]]&gt;=55, BikePurchase[[#This Row],[Age]]&lt;90), "Old",
  TRUE, "Invalid"
)</f>
        <v>Middle Aged</v>
      </c>
      <c r="P619" t="s">
        <v>13</v>
      </c>
      <c r="Q619" t="str">
        <f>IF(BikePurchase[[#This Row],[Purchased BikeX]]="No","Not Purchased","Purchased")</f>
        <v>Purchased</v>
      </c>
    </row>
    <row r="620" spans="1:17" x14ac:dyDescent="0.3">
      <c r="A620">
        <v>25347</v>
      </c>
      <c r="B620" t="s">
        <v>31</v>
      </c>
      <c r="C620" t="str">
        <f t="shared" si="18"/>
        <v>Single</v>
      </c>
      <c r="D620" t="s">
        <v>29</v>
      </c>
      <c r="E620" t="str">
        <f t="shared" si="19"/>
        <v>Female</v>
      </c>
      <c r="F620" s="2">
        <v>20000</v>
      </c>
      <c r="G620">
        <v>3</v>
      </c>
      <c r="H620" t="s">
        <v>26</v>
      </c>
      <c r="I620" t="s">
        <v>17</v>
      </c>
      <c r="J620" t="s">
        <v>15</v>
      </c>
      <c r="K620">
        <v>2</v>
      </c>
      <c r="L620" t="s">
        <v>35</v>
      </c>
      <c r="M620" t="s">
        <v>28</v>
      </c>
      <c r="N620" s="2">
        <v>49</v>
      </c>
      <c r="O620" t="str" cm="1">
        <f t="array" ref="O620">_xlfn.IFS(
  AND(BikePurchase[[#This Row],[Age]]&gt;=18, BikePurchase[[#This Row],[Age]]&lt;=30), "Adolescent",
  AND(BikePurchase[[#This Row],[Age]]&gt;30, BikePurchase[[#This Row],[Age]]&lt;55), "Middle Aged",
  AND(BikePurchase[[#This Row],[Age]]&gt;=55, BikePurchase[[#This Row],[Age]]&lt;90), "Old",
  TRUE, "Invalid"
)</f>
        <v>Middle Aged</v>
      </c>
      <c r="P620" t="s">
        <v>15</v>
      </c>
      <c r="Q620" t="str">
        <f>IF(BikePurchase[[#This Row],[Purchased BikeX]]="No","Not Purchased","Purchased")</f>
        <v>Not Purchased</v>
      </c>
    </row>
    <row r="621" spans="1:17" x14ac:dyDescent="0.3">
      <c r="A621">
        <v>15814</v>
      </c>
      <c r="B621" t="s">
        <v>31</v>
      </c>
      <c r="C621" t="str">
        <f t="shared" si="18"/>
        <v>Single</v>
      </c>
      <c r="D621" t="s">
        <v>29</v>
      </c>
      <c r="E621" t="str">
        <f t="shared" si="19"/>
        <v>Female</v>
      </c>
      <c r="F621" s="2">
        <v>40000</v>
      </c>
      <c r="G621">
        <v>0</v>
      </c>
      <c r="H621" t="s">
        <v>24</v>
      </c>
      <c r="I621" t="s">
        <v>12</v>
      </c>
      <c r="J621" t="s">
        <v>13</v>
      </c>
      <c r="K621">
        <v>1</v>
      </c>
      <c r="L621" t="s">
        <v>20</v>
      </c>
      <c r="M621" t="s">
        <v>28</v>
      </c>
      <c r="N621" s="2">
        <v>30</v>
      </c>
      <c r="O621" t="str" cm="1">
        <f t="array" ref="O621">_xlfn.IFS(
  AND(BikePurchase[[#This Row],[Age]]&gt;=18, BikePurchase[[#This Row],[Age]]&lt;=30), "Adolescent",
  AND(BikePurchase[[#This Row],[Age]]&gt;30, BikePurchase[[#This Row],[Age]]&lt;55), "Middle Aged",
  AND(BikePurchase[[#This Row],[Age]]&gt;=55, BikePurchase[[#This Row],[Age]]&lt;90), "Old",
  TRUE, "Invalid"
)</f>
        <v>Adolescent</v>
      </c>
      <c r="P621" t="s">
        <v>15</v>
      </c>
      <c r="Q621" t="str">
        <f>IF(BikePurchase[[#This Row],[Purchased BikeX]]="No","Not Purchased","Purchased")</f>
        <v>Not Purchased</v>
      </c>
    </row>
    <row r="622" spans="1:17" x14ac:dyDescent="0.3">
      <c r="A622">
        <v>11259</v>
      </c>
      <c r="B622" t="s">
        <v>30</v>
      </c>
      <c r="C622" t="str">
        <f t="shared" si="18"/>
        <v>Married</v>
      </c>
      <c r="D622" t="s">
        <v>29</v>
      </c>
      <c r="E622" t="str">
        <f t="shared" si="19"/>
        <v>Female</v>
      </c>
      <c r="F622" s="2">
        <v>100000</v>
      </c>
      <c r="G622">
        <v>4</v>
      </c>
      <c r="H622" t="s">
        <v>16</v>
      </c>
      <c r="I622" t="s">
        <v>18</v>
      </c>
      <c r="J622" t="s">
        <v>13</v>
      </c>
      <c r="K622">
        <v>4</v>
      </c>
      <c r="L622" t="s">
        <v>19</v>
      </c>
      <c r="M622" t="s">
        <v>28</v>
      </c>
      <c r="N622" s="2">
        <v>41</v>
      </c>
      <c r="O622" t="str" cm="1">
        <f t="array" ref="O622">_xlfn.IFS(
  AND(BikePurchase[[#This Row],[Age]]&gt;=18, BikePurchase[[#This Row],[Age]]&lt;=30), "Adolescent",
  AND(BikePurchase[[#This Row],[Age]]&gt;30, BikePurchase[[#This Row],[Age]]&lt;55), "Middle Aged",
  AND(BikePurchase[[#This Row],[Age]]&gt;=55, BikePurchase[[#This Row],[Age]]&lt;90), "Old",
  TRUE, "Invalid"
)</f>
        <v>Middle Aged</v>
      </c>
      <c r="P622" t="s">
        <v>13</v>
      </c>
      <c r="Q622" t="str">
        <f>IF(BikePurchase[[#This Row],[Purchased BikeX]]="No","Not Purchased","Purchased")</f>
        <v>Purchased</v>
      </c>
    </row>
    <row r="623" spans="1:17" x14ac:dyDescent="0.3">
      <c r="A623">
        <v>11200</v>
      </c>
      <c r="B623" t="s">
        <v>30</v>
      </c>
      <c r="C623" t="str">
        <f t="shared" si="18"/>
        <v>Married</v>
      </c>
      <c r="D623" t="s">
        <v>30</v>
      </c>
      <c r="E623" t="str">
        <f t="shared" si="19"/>
        <v>Male</v>
      </c>
      <c r="F623" s="2">
        <v>70000</v>
      </c>
      <c r="G623">
        <v>4</v>
      </c>
      <c r="H623" t="s">
        <v>11</v>
      </c>
      <c r="I623" t="s">
        <v>25</v>
      </c>
      <c r="J623" t="s">
        <v>13</v>
      </c>
      <c r="K623">
        <v>1</v>
      </c>
      <c r="L623" t="s">
        <v>23</v>
      </c>
      <c r="M623" t="s">
        <v>28</v>
      </c>
      <c r="N623" s="2">
        <v>58</v>
      </c>
      <c r="O623" t="str" cm="1">
        <f t="array" ref="O623">_xlfn.IFS(
  AND(BikePurchase[[#This Row],[Age]]&gt;=18, BikePurchase[[#This Row],[Age]]&lt;=30), "Adolescent",
  AND(BikePurchase[[#This Row],[Age]]&gt;30, BikePurchase[[#This Row],[Age]]&lt;55), "Middle Aged",
  AND(BikePurchase[[#This Row],[Age]]&gt;=55, BikePurchase[[#This Row],[Age]]&lt;90), "Old",
  TRUE, "Invalid"
)</f>
        <v>Old</v>
      </c>
      <c r="P623" t="s">
        <v>15</v>
      </c>
      <c r="Q623" t="str">
        <f>IF(BikePurchase[[#This Row],[Purchased BikeX]]="No","Not Purchased","Purchased")</f>
        <v>Not Purchased</v>
      </c>
    </row>
    <row r="624" spans="1:17" x14ac:dyDescent="0.3">
      <c r="A624">
        <v>25101</v>
      </c>
      <c r="B624" t="s">
        <v>30</v>
      </c>
      <c r="C624" t="str">
        <f t="shared" si="18"/>
        <v>Married</v>
      </c>
      <c r="D624" t="s">
        <v>30</v>
      </c>
      <c r="E624" t="str">
        <f t="shared" si="19"/>
        <v>Male</v>
      </c>
      <c r="F624" s="2">
        <v>60000</v>
      </c>
      <c r="G624">
        <v>5</v>
      </c>
      <c r="H624" t="s">
        <v>11</v>
      </c>
      <c r="I624" t="s">
        <v>18</v>
      </c>
      <c r="J624" t="s">
        <v>13</v>
      </c>
      <c r="K624">
        <v>1</v>
      </c>
      <c r="L624" t="s">
        <v>19</v>
      </c>
      <c r="M624" t="s">
        <v>28</v>
      </c>
      <c r="N624" s="2">
        <v>47</v>
      </c>
      <c r="O624" t="str" cm="1">
        <f t="array" ref="O624">_xlfn.IFS(
  AND(BikePurchase[[#This Row],[Age]]&gt;=18, BikePurchase[[#This Row],[Age]]&lt;=30), "Adolescent",
  AND(BikePurchase[[#This Row],[Age]]&gt;30, BikePurchase[[#This Row],[Age]]&lt;55), "Middle Aged",
  AND(BikePurchase[[#This Row],[Age]]&gt;=55, BikePurchase[[#This Row],[Age]]&lt;90), "Old",
  TRUE, "Invalid"
)</f>
        <v>Middle Aged</v>
      </c>
      <c r="P624" t="s">
        <v>15</v>
      </c>
      <c r="Q624" t="str">
        <f>IF(BikePurchase[[#This Row],[Purchased BikeX]]="No","Not Purchased","Purchased")</f>
        <v>Not Purchased</v>
      </c>
    </row>
    <row r="625" spans="1:17" x14ac:dyDescent="0.3">
      <c r="A625">
        <v>21801</v>
      </c>
      <c r="B625" t="s">
        <v>30</v>
      </c>
      <c r="C625" t="str">
        <f t="shared" si="18"/>
        <v>Married</v>
      </c>
      <c r="D625" t="s">
        <v>29</v>
      </c>
      <c r="E625" t="str">
        <f t="shared" si="19"/>
        <v>Female</v>
      </c>
      <c r="F625" s="2">
        <v>70000</v>
      </c>
      <c r="G625">
        <v>4</v>
      </c>
      <c r="H625" t="s">
        <v>16</v>
      </c>
      <c r="I625" t="s">
        <v>18</v>
      </c>
      <c r="J625" t="s">
        <v>13</v>
      </c>
      <c r="K625">
        <v>1</v>
      </c>
      <c r="L625" t="s">
        <v>23</v>
      </c>
      <c r="M625" t="s">
        <v>28</v>
      </c>
      <c r="N625" s="2">
        <v>55</v>
      </c>
      <c r="O625" t="str" cm="1">
        <f t="array" ref="O625">_xlfn.IFS(
  AND(BikePurchase[[#This Row],[Age]]&gt;=18, BikePurchase[[#This Row],[Age]]&lt;=30), "Adolescent",
  AND(BikePurchase[[#This Row],[Age]]&gt;30, BikePurchase[[#This Row],[Age]]&lt;55), "Middle Aged",
  AND(BikePurchase[[#This Row],[Age]]&gt;=55, BikePurchase[[#This Row],[Age]]&lt;90), "Old",
  TRUE, "Invalid"
)</f>
        <v>Old</v>
      </c>
      <c r="P625" t="s">
        <v>15</v>
      </c>
      <c r="Q625" t="str">
        <f>IF(BikePurchase[[#This Row],[Purchased BikeX]]="No","Not Purchased","Purchased")</f>
        <v>Not Purchased</v>
      </c>
    </row>
    <row r="626" spans="1:17" x14ac:dyDescent="0.3">
      <c r="A626">
        <v>25943</v>
      </c>
      <c r="B626" t="s">
        <v>31</v>
      </c>
      <c r="C626" t="str">
        <f t="shared" si="18"/>
        <v>Single</v>
      </c>
      <c r="D626" t="s">
        <v>29</v>
      </c>
      <c r="E626" t="str">
        <f t="shared" si="19"/>
        <v>Female</v>
      </c>
      <c r="F626" s="2">
        <v>70000</v>
      </c>
      <c r="G626">
        <v>0</v>
      </c>
      <c r="H626" t="s">
        <v>16</v>
      </c>
      <c r="I626" t="s">
        <v>12</v>
      </c>
      <c r="J626" t="s">
        <v>15</v>
      </c>
      <c r="K626">
        <v>2</v>
      </c>
      <c r="L626" t="s">
        <v>35</v>
      </c>
      <c r="M626" t="s">
        <v>28</v>
      </c>
      <c r="N626" s="2">
        <v>27</v>
      </c>
      <c r="O626" t="str" cm="1">
        <f t="array" ref="O626">_xlfn.IFS(
  AND(BikePurchase[[#This Row],[Age]]&gt;=18, BikePurchase[[#This Row],[Age]]&lt;=30), "Adolescent",
  AND(BikePurchase[[#This Row],[Age]]&gt;30, BikePurchase[[#This Row],[Age]]&lt;55), "Middle Aged",
  AND(BikePurchase[[#This Row],[Age]]&gt;=55, BikePurchase[[#This Row],[Age]]&lt;90), "Old",
  TRUE, "Invalid"
)</f>
        <v>Adolescent</v>
      </c>
      <c r="P626" t="s">
        <v>13</v>
      </c>
      <c r="Q626" t="str">
        <f>IF(BikePurchase[[#This Row],[Purchased BikeX]]="No","Not Purchased","Purchased")</f>
        <v>Purchased</v>
      </c>
    </row>
    <row r="627" spans="1:17" x14ac:dyDescent="0.3">
      <c r="A627">
        <v>22127</v>
      </c>
      <c r="B627" t="s">
        <v>30</v>
      </c>
      <c r="C627" t="str">
        <f t="shared" si="18"/>
        <v>Married</v>
      </c>
      <c r="D627" t="s">
        <v>30</v>
      </c>
      <c r="E627" t="str">
        <f t="shared" si="19"/>
        <v>Male</v>
      </c>
      <c r="F627" s="2">
        <v>60000</v>
      </c>
      <c r="G627">
        <v>3</v>
      </c>
      <c r="H627" t="s">
        <v>27</v>
      </c>
      <c r="I627" t="s">
        <v>25</v>
      </c>
      <c r="J627" t="s">
        <v>13</v>
      </c>
      <c r="K627">
        <v>2</v>
      </c>
      <c r="L627" t="s">
        <v>23</v>
      </c>
      <c r="M627" t="s">
        <v>28</v>
      </c>
      <c r="N627" s="2">
        <v>67</v>
      </c>
      <c r="O627" t="str" cm="1">
        <f t="array" ref="O627">_xlfn.IFS(
  AND(BikePurchase[[#This Row],[Age]]&gt;=18, BikePurchase[[#This Row],[Age]]&lt;=30), "Adolescent",
  AND(BikePurchase[[#This Row],[Age]]&gt;30, BikePurchase[[#This Row],[Age]]&lt;55), "Middle Aged",
  AND(BikePurchase[[#This Row],[Age]]&gt;=55, BikePurchase[[#This Row],[Age]]&lt;90), "Old",
  TRUE, "Invalid"
)</f>
        <v>Old</v>
      </c>
      <c r="P627" t="s">
        <v>15</v>
      </c>
      <c r="Q627" t="str">
        <f>IF(BikePurchase[[#This Row],[Purchased BikeX]]="No","Not Purchased","Purchased")</f>
        <v>Not Purchased</v>
      </c>
    </row>
    <row r="628" spans="1:17" x14ac:dyDescent="0.3">
      <c r="A628">
        <v>20414</v>
      </c>
      <c r="B628" t="s">
        <v>30</v>
      </c>
      <c r="C628" t="str">
        <f t="shared" si="18"/>
        <v>Married</v>
      </c>
      <c r="D628" t="s">
        <v>29</v>
      </c>
      <c r="E628" t="str">
        <f t="shared" si="19"/>
        <v>Female</v>
      </c>
      <c r="F628" s="2">
        <v>60000</v>
      </c>
      <c r="G628">
        <v>0</v>
      </c>
      <c r="H628" t="s">
        <v>16</v>
      </c>
      <c r="I628" t="s">
        <v>12</v>
      </c>
      <c r="J628" t="s">
        <v>13</v>
      </c>
      <c r="K628">
        <v>2</v>
      </c>
      <c r="L628" t="s">
        <v>20</v>
      </c>
      <c r="M628" t="s">
        <v>28</v>
      </c>
      <c r="N628" s="2">
        <v>29</v>
      </c>
      <c r="O628" t="str" cm="1">
        <f t="array" ref="O628">_xlfn.IFS(
  AND(BikePurchase[[#This Row],[Age]]&gt;=18, BikePurchase[[#This Row],[Age]]&lt;=30), "Adolescent",
  AND(BikePurchase[[#This Row],[Age]]&gt;30, BikePurchase[[#This Row],[Age]]&lt;55), "Middle Aged",
  AND(BikePurchase[[#This Row],[Age]]&gt;=55, BikePurchase[[#This Row],[Age]]&lt;90), "Old",
  TRUE, "Invalid"
)</f>
        <v>Adolescent</v>
      </c>
      <c r="P628" t="s">
        <v>15</v>
      </c>
      <c r="Q628" t="str">
        <f>IF(BikePurchase[[#This Row],[Purchased BikeX]]="No","Not Purchased","Purchased")</f>
        <v>Not Purchased</v>
      </c>
    </row>
    <row r="629" spans="1:17" x14ac:dyDescent="0.3">
      <c r="A629">
        <v>23672</v>
      </c>
      <c r="B629" t="s">
        <v>30</v>
      </c>
      <c r="C629" t="str">
        <f t="shared" si="18"/>
        <v>Married</v>
      </c>
      <c r="D629" t="s">
        <v>29</v>
      </c>
      <c r="E629" t="str">
        <f t="shared" si="19"/>
        <v>Female</v>
      </c>
      <c r="F629" s="2">
        <v>60000</v>
      </c>
      <c r="G629">
        <v>3</v>
      </c>
      <c r="H629" t="s">
        <v>27</v>
      </c>
      <c r="I629" t="s">
        <v>25</v>
      </c>
      <c r="J629" t="s">
        <v>13</v>
      </c>
      <c r="K629">
        <v>2</v>
      </c>
      <c r="L629" t="s">
        <v>23</v>
      </c>
      <c r="M629" t="s">
        <v>28</v>
      </c>
      <c r="N629" s="2">
        <v>67</v>
      </c>
      <c r="O629" t="str" cm="1">
        <f t="array" ref="O629">_xlfn.IFS(
  AND(BikePurchase[[#This Row],[Age]]&gt;=18, BikePurchase[[#This Row],[Age]]&lt;=30), "Adolescent",
  AND(BikePurchase[[#This Row],[Age]]&gt;30, BikePurchase[[#This Row],[Age]]&lt;55), "Middle Aged",
  AND(BikePurchase[[#This Row],[Age]]&gt;=55, BikePurchase[[#This Row],[Age]]&lt;90), "Old",
  TRUE, "Invalid"
)</f>
        <v>Old</v>
      </c>
      <c r="P629" t="s">
        <v>15</v>
      </c>
      <c r="Q629" t="str">
        <f>IF(BikePurchase[[#This Row],[Purchased BikeX]]="No","Not Purchased","Purchased")</f>
        <v>Not Purchased</v>
      </c>
    </row>
    <row r="630" spans="1:17" x14ac:dyDescent="0.3">
      <c r="A630">
        <v>29255</v>
      </c>
      <c r="B630" t="s">
        <v>31</v>
      </c>
      <c r="C630" t="str">
        <f t="shared" si="18"/>
        <v>Single</v>
      </c>
      <c r="D630" t="s">
        <v>30</v>
      </c>
      <c r="E630" t="str">
        <f t="shared" si="19"/>
        <v>Male</v>
      </c>
      <c r="F630" s="2">
        <v>80000</v>
      </c>
      <c r="G630">
        <v>3</v>
      </c>
      <c r="H630" t="s">
        <v>16</v>
      </c>
      <c r="I630" t="s">
        <v>18</v>
      </c>
      <c r="J630" t="s">
        <v>15</v>
      </c>
      <c r="K630">
        <v>1</v>
      </c>
      <c r="L630" t="s">
        <v>23</v>
      </c>
      <c r="M630" t="s">
        <v>28</v>
      </c>
      <c r="N630" s="2">
        <v>51</v>
      </c>
      <c r="O630" t="str" cm="1">
        <f t="array" ref="O630">_xlfn.IFS(
  AND(BikePurchase[[#This Row],[Age]]&gt;=18, BikePurchase[[#This Row],[Age]]&lt;=30), "Adolescent",
  AND(BikePurchase[[#This Row],[Age]]&gt;30, BikePurchase[[#This Row],[Age]]&lt;55), "Middle Aged",
  AND(BikePurchase[[#This Row],[Age]]&gt;=55, BikePurchase[[#This Row],[Age]]&lt;90), "Old",
  TRUE, "Invalid"
)</f>
        <v>Middle Aged</v>
      </c>
      <c r="P630" t="s">
        <v>13</v>
      </c>
      <c r="Q630" t="str">
        <f>IF(BikePurchase[[#This Row],[Purchased BikeX]]="No","Not Purchased","Purchased")</f>
        <v>Purchased</v>
      </c>
    </row>
    <row r="631" spans="1:17" x14ac:dyDescent="0.3">
      <c r="A631">
        <v>28815</v>
      </c>
      <c r="B631" t="s">
        <v>30</v>
      </c>
      <c r="C631" t="str">
        <f t="shared" si="18"/>
        <v>Married</v>
      </c>
      <c r="D631" t="s">
        <v>29</v>
      </c>
      <c r="E631" t="str">
        <f t="shared" si="19"/>
        <v>Female</v>
      </c>
      <c r="F631" s="2">
        <v>50000</v>
      </c>
      <c r="G631">
        <v>1</v>
      </c>
      <c r="H631" t="s">
        <v>27</v>
      </c>
      <c r="I631" t="s">
        <v>12</v>
      </c>
      <c r="J631" t="s">
        <v>13</v>
      </c>
      <c r="K631">
        <v>0</v>
      </c>
      <c r="L631" t="s">
        <v>35</v>
      </c>
      <c r="M631" t="s">
        <v>28</v>
      </c>
      <c r="N631" s="2">
        <v>35</v>
      </c>
      <c r="O631" t="str" cm="1">
        <f t="array" ref="O631">_xlfn.IFS(
  AND(BikePurchase[[#This Row],[Age]]&gt;=18, BikePurchase[[#This Row],[Age]]&lt;=30), "Adolescent",
  AND(BikePurchase[[#This Row],[Age]]&gt;30, BikePurchase[[#This Row],[Age]]&lt;55), "Middle Aged",
  AND(BikePurchase[[#This Row],[Age]]&gt;=55, BikePurchase[[#This Row],[Age]]&lt;90), "Old",
  TRUE, "Invalid"
)</f>
        <v>Middle Aged</v>
      </c>
      <c r="P631" t="s">
        <v>15</v>
      </c>
      <c r="Q631" t="str">
        <f>IF(BikePurchase[[#This Row],[Purchased BikeX]]="No","Not Purchased","Purchased")</f>
        <v>Not Purchased</v>
      </c>
    </row>
    <row r="632" spans="1:17" x14ac:dyDescent="0.3">
      <c r="A632">
        <v>27753</v>
      </c>
      <c r="B632" t="s">
        <v>30</v>
      </c>
      <c r="C632" t="str">
        <f t="shared" si="18"/>
        <v>Married</v>
      </c>
      <c r="D632" t="s">
        <v>30</v>
      </c>
      <c r="E632" t="str">
        <f t="shared" si="19"/>
        <v>Male</v>
      </c>
      <c r="F632" s="2">
        <v>40000</v>
      </c>
      <c r="G632">
        <v>0</v>
      </c>
      <c r="H632" t="s">
        <v>24</v>
      </c>
      <c r="I632" t="s">
        <v>12</v>
      </c>
      <c r="J632" t="s">
        <v>15</v>
      </c>
      <c r="K632">
        <v>2</v>
      </c>
      <c r="L632" t="s">
        <v>23</v>
      </c>
      <c r="M632" t="s">
        <v>28</v>
      </c>
      <c r="N632" s="2">
        <v>30</v>
      </c>
      <c r="O632" t="str" cm="1">
        <f t="array" ref="O632">_xlfn.IFS(
  AND(BikePurchase[[#This Row],[Age]]&gt;=18, BikePurchase[[#This Row],[Age]]&lt;=30), "Adolescent",
  AND(BikePurchase[[#This Row],[Age]]&gt;30, BikePurchase[[#This Row],[Age]]&lt;55), "Middle Aged",
  AND(BikePurchase[[#This Row],[Age]]&gt;=55, BikePurchase[[#This Row],[Age]]&lt;90), "Old",
  TRUE, "Invalid"
)</f>
        <v>Adolescent</v>
      </c>
      <c r="P632" t="s">
        <v>15</v>
      </c>
      <c r="Q632" t="str">
        <f>IF(BikePurchase[[#This Row],[Purchased BikeX]]="No","Not Purchased","Purchased")</f>
        <v>Not Purchased</v>
      </c>
    </row>
    <row r="633" spans="1:17" x14ac:dyDescent="0.3">
      <c r="A633">
        <v>27643</v>
      </c>
      <c r="B633" t="s">
        <v>31</v>
      </c>
      <c r="C633" t="str">
        <f t="shared" si="18"/>
        <v>Single</v>
      </c>
      <c r="D633" t="s">
        <v>30</v>
      </c>
      <c r="E633" t="str">
        <f t="shared" si="19"/>
        <v>Male</v>
      </c>
      <c r="F633" s="2">
        <v>70000</v>
      </c>
      <c r="G633">
        <v>5</v>
      </c>
      <c r="H633" t="s">
        <v>16</v>
      </c>
      <c r="I633" t="s">
        <v>18</v>
      </c>
      <c r="J633" t="s">
        <v>13</v>
      </c>
      <c r="K633">
        <v>3</v>
      </c>
      <c r="L633" t="s">
        <v>19</v>
      </c>
      <c r="M633" t="s">
        <v>28</v>
      </c>
      <c r="N633" s="2">
        <v>44</v>
      </c>
      <c r="O633" t="str" cm="1">
        <f t="array" ref="O633">_xlfn.IFS(
  AND(BikePurchase[[#This Row],[Age]]&gt;=18, BikePurchase[[#This Row],[Age]]&lt;=30), "Adolescent",
  AND(BikePurchase[[#This Row],[Age]]&gt;30, BikePurchase[[#This Row],[Age]]&lt;55), "Middle Aged",
  AND(BikePurchase[[#This Row],[Age]]&gt;=55, BikePurchase[[#This Row],[Age]]&lt;90), "Old",
  TRUE, "Invalid"
)</f>
        <v>Middle Aged</v>
      </c>
      <c r="P633" t="s">
        <v>15</v>
      </c>
      <c r="Q633" t="str">
        <f>IF(BikePurchase[[#This Row],[Purchased BikeX]]="No","Not Purchased","Purchased")</f>
        <v>Not Purchased</v>
      </c>
    </row>
    <row r="634" spans="1:17" x14ac:dyDescent="0.3">
      <c r="A634">
        <v>13754</v>
      </c>
      <c r="B634" t="s">
        <v>31</v>
      </c>
      <c r="C634" t="str">
        <f t="shared" si="18"/>
        <v>Single</v>
      </c>
      <c r="D634" t="s">
        <v>29</v>
      </c>
      <c r="E634" t="str">
        <f t="shared" si="19"/>
        <v>Female</v>
      </c>
      <c r="F634" s="2">
        <v>80000</v>
      </c>
      <c r="G634">
        <v>4</v>
      </c>
      <c r="H634" t="s">
        <v>27</v>
      </c>
      <c r="I634" t="s">
        <v>12</v>
      </c>
      <c r="J634" t="s">
        <v>13</v>
      </c>
      <c r="K634">
        <v>0</v>
      </c>
      <c r="L634" t="s">
        <v>23</v>
      </c>
      <c r="M634" t="s">
        <v>28</v>
      </c>
      <c r="N634" s="2">
        <v>48</v>
      </c>
      <c r="O634" t="str" cm="1">
        <f t="array" ref="O634">_xlfn.IFS(
  AND(BikePurchase[[#This Row],[Age]]&gt;=18, BikePurchase[[#This Row],[Age]]&lt;=30), "Adolescent",
  AND(BikePurchase[[#This Row],[Age]]&gt;30, BikePurchase[[#This Row],[Age]]&lt;55), "Middle Aged",
  AND(BikePurchase[[#This Row],[Age]]&gt;=55, BikePurchase[[#This Row],[Age]]&lt;90), "Old",
  TRUE, "Invalid"
)</f>
        <v>Middle Aged</v>
      </c>
      <c r="P634" t="s">
        <v>15</v>
      </c>
      <c r="Q634" t="str">
        <f>IF(BikePurchase[[#This Row],[Purchased BikeX]]="No","Not Purchased","Purchased")</f>
        <v>Not Purchased</v>
      </c>
    </row>
    <row r="635" spans="1:17" x14ac:dyDescent="0.3">
      <c r="A635">
        <v>22088</v>
      </c>
      <c r="B635" t="s">
        <v>30</v>
      </c>
      <c r="C635" t="str">
        <f t="shared" si="18"/>
        <v>Married</v>
      </c>
      <c r="D635" t="s">
        <v>29</v>
      </c>
      <c r="E635" t="str">
        <f t="shared" si="19"/>
        <v>Female</v>
      </c>
      <c r="F635" s="2">
        <v>130000</v>
      </c>
      <c r="G635">
        <v>1</v>
      </c>
      <c r="H635" t="s">
        <v>11</v>
      </c>
      <c r="I635" t="s">
        <v>25</v>
      </c>
      <c r="J635" t="s">
        <v>13</v>
      </c>
      <c r="K635">
        <v>2</v>
      </c>
      <c r="L635" t="s">
        <v>35</v>
      </c>
      <c r="M635" t="s">
        <v>28</v>
      </c>
      <c r="N635" s="2">
        <v>45</v>
      </c>
      <c r="O635" t="str" cm="1">
        <f t="array" ref="O635">_xlfn.IFS(
  AND(BikePurchase[[#This Row],[Age]]&gt;=18, BikePurchase[[#This Row],[Age]]&lt;=30), "Adolescent",
  AND(BikePurchase[[#This Row],[Age]]&gt;30, BikePurchase[[#This Row],[Age]]&lt;55), "Middle Aged",
  AND(BikePurchase[[#This Row],[Age]]&gt;=55, BikePurchase[[#This Row],[Age]]&lt;90), "Old",
  TRUE, "Invalid"
)</f>
        <v>Middle Aged</v>
      </c>
      <c r="P635" t="s">
        <v>13</v>
      </c>
      <c r="Q635" t="str">
        <f>IF(BikePurchase[[#This Row],[Purchased BikeX]]="No","Not Purchased","Purchased")</f>
        <v>Purchased</v>
      </c>
    </row>
    <row r="636" spans="1:17" x14ac:dyDescent="0.3">
      <c r="A636">
        <v>27388</v>
      </c>
      <c r="B636" t="s">
        <v>30</v>
      </c>
      <c r="C636" t="str">
        <f t="shared" si="18"/>
        <v>Married</v>
      </c>
      <c r="D636" t="s">
        <v>30</v>
      </c>
      <c r="E636" t="str">
        <f t="shared" si="19"/>
        <v>Male</v>
      </c>
      <c r="F636" s="2">
        <v>60000</v>
      </c>
      <c r="G636">
        <v>3</v>
      </c>
      <c r="H636" t="s">
        <v>11</v>
      </c>
      <c r="I636" t="s">
        <v>25</v>
      </c>
      <c r="J636" t="s">
        <v>15</v>
      </c>
      <c r="K636">
        <v>2</v>
      </c>
      <c r="L636" t="s">
        <v>23</v>
      </c>
      <c r="M636" t="s">
        <v>28</v>
      </c>
      <c r="N636" s="2">
        <v>66</v>
      </c>
      <c r="O636" t="str" cm="1">
        <f t="array" ref="O636">_xlfn.IFS(
  AND(BikePurchase[[#This Row],[Age]]&gt;=18, BikePurchase[[#This Row],[Age]]&lt;=30), "Adolescent",
  AND(BikePurchase[[#This Row],[Age]]&gt;30, BikePurchase[[#This Row],[Age]]&lt;55), "Middle Aged",
  AND(BikePurchase[[#This Row],[Age]]&gt;=55, BikePurchase[[#This Row],[Age]]&lt;90), "Old",
  TRUE, "Invalid"
)</f>
        <v>Old</v>
      </c>
      <c r="P636" t="s">
        <v>15</v>
      </c>
      <c r="Q636" t="str">
        <f>IF(BikePurchase[[#This Row],[Purchased BikeX]]="No","Not Purchased","Purchased")</f>
        <v>Not Purchased</v>
      </c>
    </row>
    <row r="637" spans="1:17" x14ac:dyDescent="0.3">
      <c r="A637">
        <v>24745</v>
      </c>
      <c r="B637" t="s">
        <v>31</v>
      </c>
      <c r="C637" t="str">
        <f t="shared" si="18"/>
        <v>Single</v>
      </c>
      <c r="D637" t="s">
        <v>29</v>
      </c>
      <c r="E637" t="str">
        <f t="shared" si="19"/>
        <v>Female</v>
      </c>
      <c r="F637" s="2">
        <v>30000</v>
      </c>
      <c r="G637">
        <v>2</v>
      </c>
      <c r="H637" t="s">
        <v>24</v>
      </c>
      <c r="I637" t="s">
        <v>12</v>
      </c>
      <c r="J637" t="s">
        <v>15</v>
      </c>
      <c r="K637">
        <v>2</v>
      </c>
      <c r="L637" t="s">
        <v>35</v>
      </c>
      <c r="M637" t="s">
        <v>28</v>
      </c>
      <c r="N637" s="2">
        <v>49</v>
      </c>
      <c r="O637" t="str" cm="1">
        <f t="array" ref="O637">_xlfn.IFS(
  AND(BikePurchase[[#This Row],[Age]]&gt;=18, BikePurchase[[#This Row],[Age]]&lt;=30), "Adolescent",
  AND(BikePurchase[[#This Row],[Age]]&gt;30, BikePurchase[[#This Row],[Age]]&lt;55), "Middle Aged",
  AND(BikePurchase[[#This Row],[Age]]&gt;=55, BikePurchase[[#This Row],[Age]]&lt;90), "Old",
  TRUE, "Invalid"
)</f>
        <v>Middle Aged</v>
      </c>
      <c r="P637" t="s">
        <v>15</v>
      </c>
      <c r="Q637" t="str">
        <f>IF(BikePurchase[[#This Row],[Purchased BikeX]]="No","Not Purchased","Purchased")</f>
        <v>Not Purchased</v>
      </c>
    </row>
    <row r="638" spans="1:17" x14ac:dyDescent="0.3">
      <c r="A638">
        <v>29237</v>
      </c>
      <c r="B638" t="s">
        <v>31</v>
      </c>
      <c r="C638" t="str">
        <f t="shared" si="18"/>
        <v>Single</v>
      </c>
      <c r="D638" t="s">
        <v>29</v>
      </c>
      <c r="E638" t="str">
        <f t="shared" si="19"/>
        <v>Female</v>
      </c>
      <c r="F638" s="2">
        <v>120000</v>
      </c>
      <c r="G638">
        <v>4</v>
      </c>
      <c r="H638" t="s">
        <v>16</v>
      </c>
      <c r="I638" t="s">
        <v>18</v>
      </c>
      <c r="J638" t="s">
        <v>13</v>
      </c>
      <c r="K638">
        <v>3</v>
      </c>
      <c r="L638" t="s">
        <v>20</v>
      </c>
      <c r="M638" t="s">
        <v>28</v>
      </c>
      <c r="N638" s="2">
        <v>43</v>
      </c>
      <c r="O638" t="str" cm="1">
        <f t="array" ref="O638">_xlfn.IFS(
  AND(BikePurchase[[#This Row],[Age]]&gt;=18, BikePurchase[[#This Row],[Age]]&lt;=30), "Adolescent",
  AND(BikePurchase[[#This Row],[Age]]&gt;30, BikePurchase[[#This Row],[Age]]&lt;55), "Middle Aged",
  AND(BikePurchase[[#This Row],[Age]]&gt;=55, BikePurchase[[#This Row],[Age]]&lt;90), "Old",
  TRUE, "Invalid"
)</f>
        <v>Middle Aged</v>
      </c>
      <c r="P638" t="s">
        <v>13</v>
      </c>
      <c r="Q638" t="str">
        <f>IF(BikePurchase[[#This Row],[Purchased BikeX]]="No","Not Purchased","Purchased")</f>
        <v>Purchased</v>
      </c>
    </row>
    <row r="639" spans="1:17" x14ac:dyDescent="0.3">
      <c r="A639">
        <v>15272</v>
      </c>
      <c r="B639" t="s">
        <v>31</v>
      </c>
      <c r="C639" t="str">
        <f t="shared" si="18"/>
        <v>Single</v>
      </c>
      <c r="D639" t="s">
        <v>30</v>
      </c>
      <c r="E639" t="str">
        <f t="shared" si="19"/>
        <v>Male</v>
      </c>
      <c r="F639" s="2">
        <v>40000</v>
      </c>
      <c r="G639">
        <v>0</v>
      </c>
      <c r="H639" t="s">
        <v>24</v>
      </c>
      <c r="I639" t="s">
        <v>12</v>
      </c>
      <c r="J639" t="s">
        <v>15</v>
      </c>
      <c r="K639">
        <v>2</v>
      </c>
      <c r="L639" t="s">
        <v>23</v>
      </c>
      <c r="M639" t="s">
        <v>28</v>
      </c>
      <c r="N639" s="2">
        <v>30</v>
      </c>
      <c r="O639" t="str" cm="1">
        <f t="array" ref="O639">_xlfn.IFS(
  AND(BikePurchase[[#This Row],[Age]]&gt;=18, BikePurchase[[#This Row],[Age]]&lt;=30), "Adolescent",
  AND(BikePurchase[[#This Row],[Age]]&gt;30, BikePurchase[[#This Row],[Age]]&lt;55), "Middle Aged",
  AND(BikePurchase[[#This Row],[Age]]&gt;=55, BikePurchase[[#This Row],[Age]]&lt;90), "Old",
  TRUE, "Invalid"
)</f>
        <v>Adolescent</v>
      </c>
      <c r="P639" t="s">
        <v>15</v>
      </c>
      <c r="Q639" t="str">
        <f>IF(BikePurchase[[#This Row],[Purchased BikeX]]="No","Not Purchased","Purchased")</f>
        <v>Not Purchased</v>
      </c>
    </row>
    <row r="640" spans="1:17" x14ac:dyDescent="0.3">
      <c r="A640">
        <v>18949</v>
      </c>
      <c r="B640" t="s">
        <v>31</v>
      </c>
      <c r="C640" t="str">
        <f t="shared" si="18"/>
        <v>Single</v>
      </c>
      <c r="D640" t="s">
        <v>30</v>
      </c>
      <c r="E640" t="str">
        <f t="shared" si="19"/>
        <v>Male</v>
      </c>
      <c r="F640" s="2">
        <v>70000</v>
      </c>
      <c r="G640">
        <v>0</v>
      </c>
      <c r="H640" t="s">
        <v>27</v>
      </c>
      <c r="I640" t="s">
        <v>25</v>
      </c>
      <c r="J640" t="s">
        <v>13</v>
      </c>
      <c r="K640">
        <v>2</v>
      </c>
      <c r="L640" t="s">
        <v>20</v>
      </c>
      <c r="M640" t="s">
        <v>28</v>
      </c>
      <c r="N640" s="2">
        <v>74</v>
      </c>
      <c r="O640" t="str" cm="1">
        <f t="array" ref="O640">_xlfn.IFS(
  AND(BikePurchase[[#This Row],[Age]]&gt;=18, BikePurchase[[#This Row],[Age]]&lt;=30), "Adolescent",
  AND(BikePurchase[[#This Row],[Age]]&gt;30, BikePurchase[[#This Row],[Age]]&lt;55), "Middle Aged",
  AND(BikePurchase[[#This Row],[Age]]&gt;=55, BikePurchase[[#This Row],[Age]]&lt;90), "Old",
  TRUE, "Invalid"
)</f>
        <v>Old</v>
      </c>
      <c r="P640" t="s">
        <v>13</v>
      </c>
      <c r="Q640" t="str">
        <f>IF(BikePurchase[[#This Row],[Purchased BikeX]]="No","Not Purchased","Purchased")</f>
        <v>Purchased</v>
      </c>
    </row>
    <row r="641" spans="1:17" x14ac:dyDescent="0.3">
      <c r="A641">
        <v>14507</v>
      </c>
      <c r="B641" t="s">
        <v>30</v>
      </c>
      <c r="C641" t="str">
        <f t="shared" si="18"/>
        <v>Married</v>
      </c>
      <c r="D641" t="s">
        <v>30</v>
      </c>
      <c r="E641" t="str">
        <f t="shared" si="19"/>
        <v>Male</v>
      </c>
      <c r="F641" s="2">
        <v>100000</v>
      </c>
      <c r="G641">
        <v>2</v>
      </c>
      <c r="H641" t="s">
        <v>27</v>
      </c>
      <c r="I641" t="s">
        <v>25</v>
      </c>
      <c r="J641" t="s">
        <v>13</v>
      </c>
      <c r="K641">
        <v>3</v>
      </c>
      <c r="L641" t="s">
        <v>23</v>
      </c>
      <c r="M641" t="s">
        <v>28</v>
      </c>
      <c r="N641" s="2">
        <v>65</v>
      </c>
      <c r="O641" t="str" cm="1">
        <f t="array" ref="O641">_xlfn.IFS(
  AND(BikePurchase[[#This Row],[Age]]&gt;=18, BikePurchase[[#This Row],[Age]]&lt;=30), "Adolescent",
  AND(BikePurchase[[#This Row],[Age]]&gt;30, BikePurchase[[#This Row],[Age]]&lt;55), "Middle Aged",
  AND(BikePurchase[[#This Row],[Age]]&gt;=55, BikePurchase[[#This Row],[Age]]&lt;90), "Old",
  TRUE, "Invalid"
)</f>
        <v>Old</v>
      </c>
      <c r="P641" t="s">
        <v>15</v>
      </c>
      <c r="Q641" t="str">
        <f>IF(BikePurchase[[#This Row],[Purchased BikeX]]="No","Not Purchased","Purchased")</f>
        <v>Not Purchased</v>
      </c>
    </row>
    <row r="642" spans="1:17" x14ac:dyDescent="0.3">
      <c r="A642">
        <v>25886</v>
      </c>
      <c r="B642" t="s">
        <v>30</v>
      </c>
      <c r="C642" t="str">
        <f t="shared" ref="C642:C705" si="20">IF(B642="M","Married","Single")</f>
        <v>Married</v>
      </c>
      <c r="D642" t="s">
        <v>29</v>
      </c>
      <c r="E642" t="str">
        <f t="shared" ref="E642:E705" si="21">IF(D642="F","Female","Male")</f>
        <v>Female</v>
      </c>
      <c r="F642" s="2">
        <v>60000</v>
      </c>
      <c r="G642">
        <v>2</v>
      </c>
      <c r="H642" t="s">
        <v>16</v>
      </c>
      <c r="I642" t="s">
        <v>18</v>
      </c>
      <c r="J642" t="s">
        <v>13</v>
      </c>
      <c r="K642">
        <v>2</v>
      </c>
      <c r="L642" t="s">
        <v>19</v>
      </c>
      <c r="M642" t="s">
        <v>28</v>
      </c>
      <c r="N642" s="2">
        <v>56</v>
      </c>
      <c r="O642" t="str" cm="1">
        <f t="array" ref="O642">_xlfn.IFS(
  AND(BikePurchase[[#This Row],[Age]]&gt;=18, BikePurchase[[#This Row],[Age]]&lt;=30), "Adolescent",
  AND(BikePurchase[[#This Row],[Age]]&gt;30, BikePurchase[[#This Row],[Age]]&lt;55), "Middle Aged",
  AND(BikePurchase[[#This Row],[Age]]&gt;=55, BikePurchase[[#This Row],[Age]]&lt;90), "Old",
  TRUE, "Invalid"
)</f>
        <v>Old</v>
      </c>
      <c r="P642" t="s">
        <v>13</v>
      </c>
      <c r="Q642" t="str">
        <f>IF(BikePurchase[[#This Row],[Purchased BikeX]]="No","Not Purchased","Purchased")</f>
        <v>Purchased</v>
      </c>
    </row>
    <row r="643" spans="1:17" x14ac:dyDescent="0.3">
      <c r="A643">
        <v>21441</v>
      </c>
      <c r="B643" t="s">
        <v>30</v>
      </c>
      <c r="C643" t="str">
        <f t="shared" si="20"/>
        <v>Married</v>
      </c>
      <c r="D643" t="s">
        <v>30</v>
      </c>
      <c r="E643" t="str">
        <f t="shared" si="21"/>
        <v>Male</v>
      </c>
      <c r="F643" s="2">
        <v>50000</v>
      </c>
      <c r="G643">
        <v>4</v>
      </c>
      <c r="H643" t="s">
        <v>11</v>
      </c>
      <c r="I643" t="s">
        <v>25</v>
      </c>
      <c r="J643" t="s">
        <v>13</v>
      </c>
      <c r="K643">
        <v>2</v>
      </c>
      <c r="L643" t="s">
        <v>48</v>
      </c>
      <c r="M643" t="s">
        <v>28</v>
      </c>
      <c r="N643" s="2">
        <v>64</v>
      </c>
      <c r="O643" t="str" cm="1">
        <f t="array" ref="O643">_xlfn.IFS(
  AND(BikePurchase[[#This Row],[Age]]&gt;=18, BikePurchase[[#This Row],[Age]]&lt;=30), "Adolescent",
  AND(BikePurchase[[#This Row],[Age]]&gt;30, BikePurchase[[#This Row],[Age]]&lt;55), "Middle Aged",
  AND(BikePurchase[[#This Row],[Age]]&gt;=55, BikePurchase[[#This Row],[Age]]&lt;90), "Old",
  TRUE, "Invalid"
)</f>
        <v>Old</v>
      </c>
      <c r="P643" t="s">
        <v>15</v>
      </c>
      <c r="Q643" t="str">
        <f>IF(BikePurchase[[#This Row],[Purchased BikeX]]="No","Not Purchased","Purchased")</f>
        <v>Not Purchased</v>
      </c>
    </row>
    <row r="644" spans="1:17" x14ac:dyDescent="0.3">
      <c r="A644">
        <v>21741</v>
      </c>
      <c r="B644" t="s">
        <v>30</v>
      </c>
      <c r="C644" t="str">
        <f t="shared" si="20"/>
        <v>Married</v>
      </c>
      <c r="D644" t="s">
        <v>29</v>
      </c>
      <c r="E644" t="str">
        <f t="shared" si="21"/>
        <v>Female</v>
      </c>
      <c r="F644" s="2">
        <v>70000</v>
      </c>
      <c r="G644">
        <v>3</v>
      </c>
      <c r="H644" t="s">
        <v>16</v>
      </c>
      <c r="I644" t="s">
        <v>18</v>
      </c>
      <c r="J644" t="s">
        <v>13</v>
      </c>
      <c r="K644">
        <v>2</v>
      </c>
      <c r="L644" t="s">
        <v>20</v>
      </c>
      <c r="M644" t="s">
        <v>28</v>
      </c>
      <c r="N644" s="2">
        <v>50</v>
      </c>
      <c r="O644" t="str" cm="1">
        <f t="array" ref="O644">_xlfn.IFS(
  AND(BikePurchase[[#This Row],[Age]]&gt;=18, BikePurchase[[#This Row],[Age]]&lt;=30), "Adolescent",
  AND(BikePurchase[[#This Row],[Age]]&gt;30, BikePurchase[[#This Row],[Age]]&lt;55), "Middle Aged",
  AND(BikePurchase[[#This Row],[Age]]&gt;=55, BikePurchase[[#This Row],[Age]]&lt;90), "Old",
  TRUE, "Invalid"
)</f>
        <v>Middle Aged</v>
      </c>
      <c r="P644" t="s">
        <v>13</v>
      </c>
      <c r="Q644" t="str">
        <f>IF(BikePurchase[[#This Row],[Purchased BikeX]]="No","Not Purchased","Purchased")</f>
        <v>Purchased</v>
      </c>
    </row>
    <row r="645" spans="1:17" x14ac:dyDescent="0.3">
      <c r="A645">
        <v>14572</v>
      </c>
      <c r="B645" t="s">
        <v>30</v>
      </c>
      <c r="C645" t="str">
        <f t="shared" si="20"/>
        <v>Married</v>
      </c>
      <c r="D645" t="s">
        <v>29</v>
      </c>
      <c r="E645" t="str">
        <f t="shared" si="21"/>
        <v>Female</v>
      </c>
      <c r="F645" s="2">
        <v>70000</v>
      </c>
      <c r="G645">
        <v>3</v>
      </c>
      <c r="H645" t="s">
        <v>27</v>
      </c>
      <c r="I645" t="s">
        <v>18</v>
      </c>
      <c r="J645" t="s">
        <v>13</v>
      </c>
      <c r="K645">
        <v>0</v>
      </c>
      <c r="L645" t="s">
        <v>19</v>
      </c>
      <c r="M645" t="s">
        <v>28</v>
      </c>
      <c r="N645" s="2">
        <v>35</v>
      </c>
      <c r="O645" t="str" cm="1">
        <f t="array" ref="O645">_xlfn.IFS(
  AND(BikePurchase[[#This Row],[Age]]&gt;=18, BikePurchase[[#This Row],[Age]]&lt;=30), "Adolescent",
  AND(BikePurchase[[#This Row],[Age]]&gt;30, BikePurchase[[#This Row],[Age]]&lt;55), "Middle Aged",
  AND(BikePurchase[[#This Row],[Age]]&gt;=55, BikePurchase[[#This Row],[Age]]&lt;90), "Old",
  TRUE, "Invalid"
)</f>
        <v>Middle Aged</v>
      </c>
      <c r="P645" t="s">
        <v>13</v>
      </c>
      <c r="Q645" t="str">
        <f>IF(BikePurchase[[#This Row],[Purchased BikeX]]="No","Not Purchased","Purchased")</f>
        <v>Purchased</v>
      </c>
    </row>
    <row r="646" spans="1:17" x14ac:dyDescent="0.3">
      <c r="A646">
        <v>23368</v>
      </c>
      <c r="B646" t="s">
        <v>30</v>
      </c>
      <c r="C646" t="str">
        <f t="shared" si="20"/>
        <v>Married</v>
      </c>
      <c r="D646" t="s">
        <v>29</v>
      </c>
      <c r="E646" t="str">
        <f t="shared" si="21"/>
        <v>Female</v>
      </c>
      <c r="F646" s="2">
        <v>60000</v>
      </c>
      <c r="G646">
        <v>5</v>
      </c>
      <c r="H646" t="s">
        <v>11</v>
      </c>
      <c r="I646" t="s">
        <v>12</v>
      </c>
      <c r="J646" t="s">
        <v>13</v>
      </c>
      <c r="K646">
        <v>3</v>
      </c>
      <c r="L646" t="s">
        <v>48</v>
      </c>
      <c r="M646" t="s">
        <v>28</v>
      </c>
      <c r="N646" s="2">
        <v>41</v>
      </c>
      <c r="O646" t="str" cm="1">
        <f t="array" ref="O646">_xlfn.IFS(
  AND(BikePurchase[[#This Row],[Age]]&gt;=18, BikePurchase[[#This Row],[Age]]&lt;=30), "Adolescent",
  AND(BikePurchase[[#This Row],[Age]]&gt;30, BikePurchase[[#This Row],[Age]]&lt;55), "Middle Aged",
  AND(BikePurchase[[#This Row],[Age]]&gt;=55, BikePurchase[[#This Row],[Age]]&lt;90), "Old",
  TRUE, "Invalid"
)</f>
        <v>Middle Aged</v>
      </c>
      <c r="P646" t="s">
        <v>15</v>
      </c>
      <c r="Q646" t="str">
        <f>IF(BikePurchase[[#This Row],[Purchased BikeX]]="No","Not Purchased","Purchased")</f>
        <v>Not Purchased</v>
      </c>
    </row>
    <row r="647" spans="1:17" x14ac:dyDescent="0.3">
      <c r="A647">
        <v>16217</v>
      </c>
      <c r="B647" t="s">
        <v>31</v>
      </c>
      <c r="C647" t="str">
        <f t="shared" si="20"/>
        <v>Single</v>
      </c>
      <c r="D647" t="s">
        <v>29</v>
      </c>
      <c r="E647" t="str">
        <f t="shared" si="21"/>
        <v>Female</v>
      </c>
      <c r="F647" s="2">
        <v>60000</v>
      </c>
      <c r="G647">
        <v>0</v>
      </c>
      <c r="H647" t="s">
        <v>27</v>
      </c>
      <c r="I647" t="s">
        <v>12</v>
      </c>
      <c r="J647" t="s">
        <v>13</v>
      </c>
      <c r="K647">
        <v>0</v>
      </c>
      <c r="L647" t="s">
        <v>35</v>
      </c>
      <c r="M647" t="s">
        <v>28</v>
      </c>
      <c r="N647" s="2">
        <v>39</v>
      </c>
      <c r="O647" t="str" cm="1">
        <f t="array" ref="O647">_xlfn.IFS(
  AND(BikePurchase[[#This Row],[Age]]&gt;=18, BikePurchase[[#This Row],[Age]]&lt;=30), "Adolescent",
  AND(BikePurchase[[#This Row],[Age]]&gt;30, BikePurchase[[#This Row],[Age]]&lt;55), "Middle Aged",
  AND(BikePurchase[[#This Row],[Age]]&gt;=55, BikePurchase[[#This Row],[Age]]&lt;90), "Old",
  TRUE, "Invalid"
)</f>
        <v>Middle Aged</v>
      </c>
      <c r="P647" t="s">
        <v>15</v>
      </c>
      <c r="Q647" t="str">
        <f>IF(BikePurchase[[#This Row],[Purchased BikeX]]="No","Not Purchased","Purchased")</f>
        <v>Not Purchased</v>
      </c>
    </row>
    <row r="648" spans="1:17" x14ac:dyDescent="0.3">
      <c r="A648">
        <v>16247</v>
      </c>
      <c r="B648" t="s">
        <v>31</v>
      </c>
      <c r="C648" t="str">
        <f t="shared" si="20"/>
        <v>Single</v>
      </c>
      <c r="D648" t="s">
        <v>29</v>
      </c>
      <c r="E648" t="str">
        <f t="shared" si="21"/>
        <v>Female</v>
      </c>
      <c r="F648" s="2">
        <v>60000</v>
      </c>
      <c r="G648">
        <v>4</v>
      </c>
      <c r="H648" t="s">
        <v>27</v>
      </c>
      <c r="I648" t="s">
        <v>12</v>
      </c>
      <c r="J648" t="s">
        <v>15</v>
      </c>
      <c r="K648">
        <v>0</v>
      </c>
      <c r="L648" t="s">
        <v>23</v>
      </c>
      <c r="M648" t="s">
        <v>28</v>
      </c>
      <c r="N648" s="2">
        <v>47</v>
      </c>
      <c r="O648" t="str" cm="1">
        <f t="array" ref="O648">_xlfn.IFS(
  AND(BikePurchase[[#This Row],[Age]]&gt;=18, BikePurchase[[#This Row],[Age]]&lt;=30), "Adolescent",
  AND(BikePurchase[[#This Row],[Age]]&gt;30, BikePurchase[[#This Row],[Age]]&lt;55), "Middle Aged",
  AND(BikePurchase[[#This Row],[Age]]&gt;=55, BikePurchase[[#This Row],[Age]]&lt;90), "Old",
  TRUE, "Invalid"
)</f>
        <v>Middle Aged</v>
      </c>
      <c r="P648" t="s">
        <v>15</v>
      </c>
      <c r="Q648" t="str">
        <f>IF(BikePurchase[[#This Row],[Purchased BikeX]]="No","Not Purchased","Purchased")</f>
        <v>Not Purchased</v>
      </c>
    </row>
    <row r="649" spans="1:17" x14ac:dyDescent="0.3">
      <c r="A649">
        <v>22010</v>
      </c>
      <c r="B649" t="s">
        <v>31</v>
      </c>
      <c r="C649" t="str">
        <f t="shared" si="20"/>
        <v>Single</v>
      </c>
      <c r="D649" t="s">
        <v>30</v>
      </c>
      <c r="E649" t="str">
        <f t="shared" si="21"/>
        <v>Male</v>
      </c>
      <c r="F649" s="2">
        <v>40000</v>
      </c>
      <c r="G649">
        <v>0</v>
      </c>
      <c r="H649" t="s">
        <v>24</v>
      </c>
      <c r="I649" t="s">
        <v>12</v>
      </c>
      <c r="J649" t="s">
        <v>13</v>
      </c>
      <c r="K649">
        <v>2</v>
      </c>
      <c r="L649" t="s">
        <v>20</v>
      </c>
      <c r="M649" t="s">
        <v>28</v>
      </c>
      <c r="N649" s="2">
        <v>31</v>
      </c>
      <c r="O649" t="str" cm="1">
        <f t="array" ref="O649">_xlfn.IFS(
  AND(BikePurchase[[#This Row],[Age]]&gt;=18, BikePurchase[[#This Row],[Age]]&lt;=30), "Adolescent",
  AND(BikePurchase[[#This Row],[Age]]&gt;30, BikePurchase[[#This Row],[Age]]&lt;55), "Middle Aged",
  AND(BikePurchase[[#This Row],[Age]]&gt;=55, BikePurchase[[#This Row],[Age]]&lt;90), "Old",
  TRUE, "Invalid"
)</f>
        <v>Middle Aged</v>
      </c>
      <c r="P649" t="s">
        <v>15</v>
      </c>
      <c r="Q649" t="str">
        <f>IF(BikePurchase[[#This Row],[Purchased BikeX]]="No","Not Purchased","Purchased")</f>
        <v>Not Purchased</v>
      </c>
    </row>
    <row r="650" spans="1:17" x14ac:dyDescent="0.3">
      <c r="A650">
        <v>25872</v>
      </c>
      <c r="B650" t="s">
        <v>31</v>
      </c>
      <c r="C650" t="str">
        <f t="shared" si="20"/>
        <v>Single</v>
      </c>
      <c r="D650" t="s">
        <v>29</v>
      </c>
      <c r="E650" t="str">
        <f t="shared" si="21"/>
        <v>Female</v>
      </c>
      <c r="F650" s="2">
        <v>70000</v>
      </c>
      <c r="G650">
        <v>2</v>
      </c>
      <c r="H650" t="s">
        <v>11</v>
      </c>
      <c r="I650" t="s">
        <v>25</v>
      </c>
      <c r="J650" t="s">
        <v>15</v>
      </c>
      <c r="K650">
        <v>1</v>
      </c>
      <c r="L650" t="s">
        <v>19</v>
      </c>
      <c r="M650" t="s">
        <v>28</v>
      </c>
      <c r="N650" s="2">
        <v>58</v>
      </c>
      <c r="O650" t="str" cm="1">
        <f t="array" ref="O650">_xlfn.IFS(
  AND(BikePurchase[[#This Row],[Age]]&gt;=18, BikePurchase[[#This Row],[Age]]&lt;=30), "Adolescent",
  AND(BikePurchase[[#This Row],[Age]]&gt;30, BikePurchase[[#This Row],[Age]]&lt;55), "Middle Aged",
  AND(BikePurchase[[#This Row],[Age]]&gt;=55, BikePurchase[[#This Row],[Age]]&lt;90), "Old",
  TRUE, "Invalid"
)</f>
        <v>Old</v>
      </c>
      <c r="P650" t="s">
        <v>13</v>
      </c>
      <c r="Q650" t="str">
        <f>IF(BikePurchase[[#This Row],[Purchased BikeX]]="No","Not Purchased","Purchased")</f>
        <v>Purchased</v>
      </c>
    </row>
    <row r="651" spans="1:17" x14ac:dyDescent="0.3">
      <c r="A651">
        <v>19164</v>
      </c>
      <c r="B651" t="s">
        <v>31</v>
      </c>
      <c r="C651" t="str">
        <f t="shared" si="20"/>
        <v>Single</v>
      </c>
      <c r="D651" t="s">
        <v>29</v>
      </c>
      <c r="E651" t="str">
        <f t="shared" si="21"/>
        <v>Female</v>
      </c>
      <c r="F651" s="2">
        <v>70000</v>
      </c>
      <c r="G651">
        <v>0</v>
      </c>
      <c r="H651" t="s">
        <v>11</v>
      </c>
      <c r="I651" t="s">
        <v>18</v>
      </c>
      <c r="J651" t="s">
        <v>15</v>
      </c>
      <c r="K651">
        <v>1</v>
      </c>
      <c r="L651" t="s">
        <v>19</v>
      </c>
      <c r="M651" t="s">
        <v>28</v>
      </c>
      <c r="N651" s="2">
        <v>38</v>
      </c>
      <c r="O651" t="str" cm="1">
        <f t="array" ref="O651">_xlfn.IFS(
  AND(BikePurchase[[#This Row],[Age]]&gt;=18, BikePurchase[[#This Row],[Age]]&lt;=30), "Adolescent",
  AND(BikePurchase[[#This Row],[Age]]&gt;30, BikePurchase[[#This Row],[Age]]&lt;55), "Middle Aged",
  AND(BikePurchase[[#This Row],[Age]]&gt;=55, BikePurchase[[#This Row],[Age]]&lt;90), "Old",
  TRUE, "Invalid"
)</f>
        <v>Middle Aged</v>
      </c>
      <c r="P651" t="s">
        <v>13</v>
      </c>
      <c r="Q651" t="str">
        <f>IF(BikePurchase[[#This Row],[Purchased BikeX]]="No","Not Purchased","Purchased")</f>
        <v>Purchased</v>
      </c>
    </row>
    <row r="652" spans="1:17" x14ac:dyDescent="0.3">
      <c r="A652">
        <v>18435</v>
      </c>
      <c r="B652" t="s">
        <v>31</v>
      </c>
      <c r="C652" t="str">
        <f t="shared" si="20"/>
        <v>Single</v>
      </c>
      <c r="D652" t="s">
        <v>29</v>
      </c>
      <c r="E652" t="str">
        <f t="shared" si="21"/>
        <v>Female</v>
      </c>
      <c r="F652" s="2">
        <v>70000</v>
      </c>
      <c r="G652">
        <v>5</v>
      </c>
      <c r="H652" t="s">
        <v>27</v>
      </c>
      <c r="I652" t="s">
        <v>25</v>
      </c>
      <c r="J652" t="s">
        <v>13</v>
      </c>
      <c r="K652">
        <v>2</v>
      </c>
      <c r="L652" t="s">
        <v>48</v>
      </c>
      <c r="M652" t="s">
        <v>28</v>
      </c>
      <c r="N652" s="2">
        <v>67</v>
      </c>
      <c r="O652" t="str" cm="1">
        <f t="array" ref="O652">_xlfn.IFS(
  AND(BikePurchase[[#This Row],[Age]]&gt;=18, BikePurchase[[#This Row],[Age]]&lt;=30), "Adolescent",
  AND(BikePurchase[[#This Row],[Age]]&gt;30, BikePurchase[[#This Row],[Age]]&lt;55), "Middle Aged",
  AND(BikePurchase[[#This Row],[Age]]&gt;=55, BikePurchase[[#This Row],[Age]]&lt;90), "Old",
  TRUE, "Invalid"
)</f>
        <v>Old</v>
      </c>
      <c r="P652" t="s">
        <v>13</v>
      </c>
      <c r="Q652" t="str">
        <f>IF(BikePurchase[[#This Row],[Purchased BikeX]]="No","Not Purchased","Purchased")</f>
        <v>Purchased</v>
      </c>
    </row>
    <row r="653" spans="1:17" x14ac:dyDescent="0.3">
      <c r="A653">
        <v>14284</v>
      </c>
      <c r="B653" t="s">
        <v>31</v>
      </c>
      <c r="C653" t="str">
        <f t="shared" si="20"/>
        <v>Single</v>
      </c>
      <c r="D653" t="s">
        <v>30</v>
      </c>
      <c r="E653" t="str">
        <f t="shared" si="21"/>
        <v>Male</v>
      </c>
      <c r="F653" s="2">
        <v>60000</v>
      </c>
      <c r="G653">
        <v>0</v>
      </c>
      <c r="H653" t="s">
        <v>16</v>
      </c>
      <c r="I653" t="s">
        <v>18</v>
      </c>
      <c r="J653" t="s">
        <v>15</v>
      </c>
      <c r="K653">
        <v>2</v>
      </c>
      <c r="L653" t="s">
        <v>23</v>
      </c>
      <c r="M653" t="s">
        <v>28</v>
      </c>
      <c r="N653" s="2">
        <v>32</v>
      </c>
      <c r="O653" t="str" cm="1">
        <f t="array" ref="O653">_xlfn.IFS(
  AND(BikePurchase[[#This Row],[Age]]&gt;=18, BikePurchase[[#This Row],[Age]]&lt;=30), "Adolescent",
  AND(BikePurchase[[#This Row],[Age]]&gt;30, BikePurchase[[#This Row],[Age]]&lt;55), "Middle Aged",
  AND(BikePurchase[[#This Row],[Age]]&gt;=55, BikePurchase[[#This Row],[Age]]&lt;90), "Old",
  TRUE, "Invalid"
)</f>
        <v>Middle Aged</v>
      </c>
      <c r="P653" t="s">
        <v>13</v>
      </c>
      <c r="Q653" t="str">
        <f>IF(BikePurchase[[#This Row],[Purchased BikeX]]="No","Not Purchased","Purchased")</f>
        <v>Purchased</v>
      </c>
    </row>
    <row r="654" spans="1:17" x14ac:dyDescent="0.3">
      <c r="A654">
        <v>11287</v>
      </c>
      <c r="B654" t="s">
        <v>30</v>
      </c>
      <c r="C654" t="str">
        <f t="shared" si="20"/>
        <v>Married</v>
      </c>
      <c r="D654" t="s">
        <v>30</v>
      </c>
      <c r="E654" t="str">
        <f t="shared" si="21"/>
        <v>Male</v>
      </c>
      <c r="F654" s="2">
        <v>70000</v>
      </c>
      <c r="G654">
        <v>5</v>
      </c>
      <c r="H654" t="s">
        <v>16</v>
      </c>
      <c r="I654" t="s">
        <v>18</v>
      </c>
      <c r="J654" t="s">
        <v>15</v>
      </c>
      <c r="K654">
        <v>3</v>
      </c>
      <c r="L654" t="s">
        <v>20</v>
      </c>
      <c r="M654" t="s">
        <v>28</v>
      </c>
      <c r="N654" s="2">
        <v>45</v>
      </c>
      <c r="O654" t="str" cm="1">
        <f t="array" ref="O654">_xlfn.IFS(
  AND(BikePurchase[[#This Row],[Age]]&gt;=18, BikePurchase[[#This Row],[Age]]&lt;=30), "Adolescent",
  AND(BikePurchase[[#This Row],[Age]]&gt;30, BikePurchase[[#This Row],[Age]]&lt;55), "Middle Aged",
  AND(BikePurchase[[#This Row],[Age]]&gt;=55, BikePurchase[[#This Row],[Age]]&lt;90), "Old",
  TRUE, "Invalid"
)</f>
        <v>Middle Aged</v>
      </c>
      <c r="P654" t="s">
        <v>15</v>
      </c>
      <c r="Q654" t="str">
        <f>IF(BikePurchase[[#This Row],[Purchased BikeX]]="No","Not Purchased","Purchased")</f>
        <v>Not Purchased</v>
      </c>
    </row>
    <row r="655" spans="1:17" x14ac:dyDescent="0.3">
      <c r="A655">
        <v>13066</v>
      </c>
      <c r="B655" t="s">
        <v>31</v>
      </c>
      <c r="C655" t="str">
        <f t="shared" si="20"/>
        <v>Single</v>
      </c>
      <c r="D655" t="s">
        <v>30</v>
      </c>
      <c r="E655" t="str">
        <f t="shared" si="21"/>
        <v>Male</v>
      </c>
      <c r="F655" s="2">
        <v>30000</v>
      </c>
      <c r="G655">
        <v>0</v>
      </c>
      <c r="H655" t="s">
        <v>24</v>
      </c>
      <c r="I655" t="s">
        <v>12</v>
      </c>
      <c r="J655" t="s">
        <v>15</v>
      </c>
      <c r="K655">
        <v>2</v>
      </c>
      <c r="L655" t="s">
        <v>23</v>
      </c>
      <c r="M655" t="s">
        <v>28</v>
      </c>
      <c r="N655" s="2">
        <v>31</v>
      </c>
      <c r="O655" t="str" cm="1">
        <f t="array" ref="O655">_xlfn.IFS(
  AND(BikePurchase[[#This Row],[Age]]&gt;=18, BikePurchase[[#This Row],[Age]]&lt;=30), "Adolescent",
  AND(BikePurchase[[#This Row],[Age]]&gt;30, BikePurchase[[#This Row],[Age]]&lt;55), "Middle Aged",
  AND(BikePurchase[[#This Row],[Age]]&gt;=55, BikePurchase[[#This Row],[Age]]&lt;90), "Old",
  TRUE, "Invalid"
)</f>
        <v>Middle Aged</v>
      </c>
      <c r="P655" t="s">
        <v>13</v>
      </c>
      <c r="Q655" t="str">
        <f>IF(BikePurchase[[#This Row],[Purchased BikeX]]="No","Not Purchased","Purchased")</f>
        <v>Purchased</v>
      </c>
    </row>
    <row r="656" spans="1:17" x14ac:dyDescent="0.3">
      <c r="A656">
        <v>29106</v>
      </c>
      <c r="B656" t="s">
        <v>31</v>
      </c>
      <c r="C656" t="str">
        <f t="shared" si="20"/>
        <v>Single</v>
      </c>
      <c r="D656" t="s">
        <v>30</v>
      </c>
      <c r="E656" t="str">
        <f t="shared" si="21"/>
        <v>Male</v>
      </c>
      <c r="F656" s="2">
        <v>40000</v>
      </c>
      <c r="G656">
        <v>0</v>
      </c>
      <c r="H656" t="s">
        <v>24</v>
      </c>
      <c r="I656" t="s">
        <v>12</v>
      </c>
      <c r="J656" t="s">
        <v>15</v>
      </c>
      <c r="K656">
        <v>2</v>
      </c>
      <c r="L656" t="s">
        <v>23</v>
      </c>
      <c r="M656" t="s">
        <v>28</v>
      </c>
      <c r="N656" s="2">
        <v>31</v>
      </c>
      <c r="O656" t="str" cm="1">
        <f t="array" ref="O656">_xlfn.IFS(
  AND(BikePurchase[[#This Row],[Age]]&gt;=18, BikePurchase[[#This Row],[Age]]&lt;=30), "Adolescent",
  AND(BikePurchase[[#This Row],[Age]]&gt;30, BikePurchase[[#This Row],[Age]]&lt;55), "Middle Aged",
  AND(BikePurchase[[#This Row],[Age]]&gt;=55, BikePurchase[[#This Row],[Age]]&lt;90), "Old",
  TRUE, "Invalid"
)</f>
        <v>Middle Aged</v>
      </c>
      <c r="P656" t="s">
        <v>13</v>
      </c>
      <c r="Q656" t="str">
        <f>IF(BikePurchase[[#This Row],[Purchased BikeX]]="No","Not Purchased","Purchased")</f>
        <v>Purchased</v>
      </c>
    </row>
    <row r="657" spans="1:17" x14ac:dyDescent="0.3">
      <c r="A657">
        <v>26236</v>
      </c>
      <c r="B657" t="s">
        <v>30</v>
      </c>
      <c r="C657" t="str">
        <f t="shared" si="20"/>
        <v>Married</v>
      </c>
      <c r="D657" t="s">
        <v>29</v>
      </c>
      <c r="E657" t="str">
        <f t="shared" si="21"/>
        <v>Female</v>
      </c>
      <c r="F657" s="2">
        <v>40000</v>
      </c>
      <c r="G657">
        <v>3</v>
      </c>
      <c r="H657" t="s">
        <v>16</v>
      </c>
      <c r="I657" t="s">
        <v>17</v>
      </c>
      <c r="J657" t="s">
        <v>13</v>
      </c>
      <c r="K657">
        <v>1</v>
      </c>
      <c r="L657" t="s">
        <v>35</v>
      </c>
      <c r="M657" t="s">
        <v>28</v>
      </c>
      <c r="N657" s="2">
        <v>31</v>
      </c>
      <c r="O657" t="str" cm="1">
        <f t="array" ref="O657">_xlfn.IFS(
  AND(BikePurchase[[#This Row],[Age]]&gt;=18, BikePurchase[[#This Row],[Age]]&lt;=30), "Adolescent",
  AND(BikePurchase[[#This Row],[Age]]&gt;30, BikePurchase[[#This Row],[Age]]&lt;55), "Middle Aged",
  AND(BikePurchase[[#This Row],[Age]]&gt;=55, BikePurchase[[#This Row],[Age]]&lt;90), "Old",
  TRUE, "Invalid"
)</f>
        <v>Middle Aged</v>
      </c>
      <c r="P657" t="s">
        <v>15</v>
      </c>
      <c r="Q657" t="str">
        <f>IF(BikePurchase[[#This Row],[Purchased BikeX]]="No","Not Purchased","Purchased")</f>
        <v>Not Purchased</v>
      </c>
    </row>
    <row r="658" spans="1:17" x14ac:dyDescent="0.3">
      <c r="A658">
        <v>17531</v>
      </c>
      <c r="B658" t="s">
        <v>30</v>
      </c>
      <c r="C658" t="str">
        <f t="shared" si="20"/>
        <v>Married</v>
      </c>
      <c r="D658" t="s">
        <v>30</v>
      </c>
      <c r="E658" t="str">
        <f t="shared" si="21"/>
        <v>Male</v>
      </c>
      <c r="F658" s="2">
        <v>60000</v>
      </c>
      <c r="G658">
        <v>2</v>
      </c>
      <c r="H658" t="s">
        <v>24</v>
      </c>
      <c r="I658" t="s">
        <v>18</v>
      </c>
      <c r="J658" t="s">
        <v>15</v>
      </c>
      <c r="K658">
        <v>2</v>
      </c>
      <c r="L658" t="s">
        <v>20</v>
      </c>
      <c r="M658" t="s">
        <v>28</v>
      </c>
      <c r="N658" s="2">
        <v>50</v>
      </c>
      <c r="O658" t="str" cm="1">
        <f t="array" ref="O658">_xlfn.IFS(
  AND(BikePurchase[[#This Row],[Age]]&gt;=18, BikePurchase[[#This Row],[Age]]&lt;=30), "Adolescent",
  AND(BikePurchase[[#This Row],[Age]]&gt;30, BikePurchase[[#This Row],[Age]]&lt;55), "Middle Aged",
  AND(BikePurchase[[#This Row],[Age]]&gt;=55, BikePurchase[[#This Row],[Age]]&lt;90), "Old",
  TRUE, "Invalid"
)</f>
        <v>Middle Aged</v>
      </c>
      <c r="P658" t="s">
        <v>15</v>
      </c>
      <c r="Q658" t="str">
        <f>IF(BikePurchase[[#This Row],[Purchased BikeX]]="No","Not Purchased","Purchased")</f>
        <v>Not Purchased</v>
      </c>
    </row>
    <row r="659" spans="1:17" x14ac:dyDescent="0.3">
      <c r="A659">
        <v>12964</v>
      </c>
      <c r="B659" t="s">
        <v>30</v>
      </c>
      <c r="C659" t="str">
        <f t="shared" si="20"/>
        <v>Married</v>
      </c>
      <c r="D659" t="s">
        <v>30</v>
      </c>
      <c r="E659" t="str">
        <f t="shared" si="21"/>
        <v>Male</v>
      </c>
      <c r="F659" s="2">
        <v>70000</v>
      </c>
      <c r="G659">
        <v>1</v>
      </c>
      <c r="H659" t="s">
        <v>16</v>
      </c>
      <c r="I659" t="s">
        <v>12</v>
      </c>
      <c r="J659" t="s">
        <v>13</v>
      </c>
      <c r="K659">
        <v>1</v>
      </c>
      <c r="L659" t="s">
        <v>35</v>
      </c>
      <c r="M659" t="s">
        <v>28</v>
      </c>
      <c r="N659" s="2">
        <v>44</v>
      </c>
      <c r="O659" t="str" cm="1">
        <f t="array" ref="O659">_xlfn.IFS(
  AND(BikePurchase[[#This Row],[Age]]&gt;=18, BikePurchase[[#This Row],[Age]]&lt;=30), "Adolescent",
  AND(BikePurchase[[#This Row],[Age]]&gt;30, BikePurchase[[#This Row],[Age]]&lt;55), "Middle Aged",
  AND(BikePurchase[[#This Row],[Age]]&gt;=55, BikePurchase[[#This Row],[Age]]&lt;90), "Old",
  TRUE, "Invalid"
)</f>
        <v>Middle Aged</v>
      </c>
      <c r="P659" t="s">
        <v>15</v>
      </c>
      <c r="Q659" t="str">
        <f>IF(BikePurchase[[#This Row],[Purchased BikeX]]="No","Not Purchased","Purchased")</f>
        <v>Not Purchased</v>
      </c>
    </row>
    <row r="660" spans="1:17" x14ac:dyDescent="0.3">
      <c r="A660">
        <v>19133</v>
      </c>
      <c r="B660" t="s">
        <v>31</v>
      </c>
      <c r="C660" t="str">
        <f t="shared" si="20"/>
        <v>Single</v>
      </c>
      <c r="D660" t="s">
        <v>30</v>
      </c>
      <c r="E660" t="str">
        <f t="shared" si="21"/>
        <v>Male</v>
      </c>
      <c r="F660" s="2">
        <v>50000</v>
      </c>
      <c r="G660">
        <v>2</v>
      </c>
      <c r="H660" t="s">
        <v>11</v>
      </c>
      <c r="I660" t="s">
        <v>12</v>
      </c>
      <c r="J660" t="s">
        <v>13</v>
      </c>
      <c r="K660">
        <v>1</v>
      </c>
      <c r="L660" t="s">
        <v>19</v>
      </c>
      <c r="M660" t="s">
        <v>28</v>
      </c>
      <c r="N660" s="2">
        <v>38</v>
      </c>
      <c r="O660" t="str" cm="1">
        <f t="array" ref="O660">_xlfn.IFS(
  AND(BikePurchase[[#This Row],[Age]]&gt;=18, BikePurchase[[#This Row],[Age]]&lt;=30), "Adolescent",
  AND(BikePurchase[[#This Row],[Age]]&gt;30, BikePurchase[[#This Row],[Age]]&lt;55), "Middle Aged",
  AND(BikePurchase[[#This Row],[Age]]&gt;=55, BikePurchase[[#This Row],[Age]]&lt;90), "Old",
  TRUE, "Invalid"
)</f>
        <v>Middle Aged</v>
      </c>
      <c r="P660" t="s">
        <v>13</v>
      </c>
      <c r="Q660" t="str">
        <f>IF(BikePurchase[[#This Row],[Purchased BikeX]]="No","Not Purchased","Purchased")</f>
        <v>Purchased</v>
      </c>
    </row>
    <row r="661" spans="1:17" x14ac:dyDescent="0.3">
      <c r="A661">
        <v>24643</v>
      </c>
      <c r="B661" t="s">
        <v>31</v>
      </c>
      <c r="C661" t="str">
        <f t="shared" si="20"/>
        <v>Single</v>
      </c>
      <c r="D661" t="s">
        <v>29</v>
      </c>
      <c r="E661" t="str">
        <f t="shared" si="21"/>
        <v>Female</v>
      </c>
      <c r="F661" s="2">
        <v>60000</v>
      </c>
      <c r="G661">
        <v>4</v>
      </c>
      <c r="H661" t="s">
        <v>11</v>
      </c>
      <c r="I661" t="s">
        <v>25</v>
      </c>
      <c r="J661" t="s">
        <v>13</v>
      </c>
      <c r="K661">
        <v>2</v>
      </c>
      <c r="L661" t="s">
        <v>48</v>
      </c>
      <c r="M661" t="s">
        <v>28</v>
      </c>
      <c r="N661" s="2">
        <v>63</v>
      </c>
      <c r="O661" t="str" cm="1">
        <f t="array" ref="O661">_xlfn.IFS(
  AND(BikePurchase[[#This Row],[Age]]&gt;=18, BikePurchase[[#This Row],[Age]]&lt;=30), "Adolescent",
  AND(BikePurchase[[#This Row],[Age]]&gt;30, BikePurchase[[#This Row],[Age]]&lt;55), "Middle Aged",
  AND(BikePurchase[[#This Row],[Age]]&gt;=55, BikePurchase[[#This Row],[Age]]&lt;90), "Old",
  TRUE, "Invalid"
)</f>
        <v>Old</v>
      </c>
      <c r="P661" t="s">
        <v>15</v>
      </c>
      <c r="Q661" t="str">
        <f>IF(BikePurchase[[#This Row],[Purchased BikeX]]="No","Not Purchased","Purchased")</f>
        <v>Not Purchased</v>
      </c>
    </row>
    <row r="662" spans="1:17" x14ac:dyDescent="0.3">
      <c r="A662">
        <v>21599</v>
      </c>
      <c r="B662" t="s">
        <v>30</v>
      </c>
      <c r="C662" t="str">
        <f t="shared" si="20"/>
        <v>Married</v>
      </c>
      <c r="D662" t="s">
        <v>29</v>
      </c>
      <c r="E662" t="str">
        <f t="shared" si="21"/>
        <v>Female</v>
      </c>
      <c r="F662" s="2">
        <v>60000</v>
      </c>
      <c r="G662">
        <v>1</v>
      </c>
      <c r="H662" t="s">
        <v>27</v>
      </c>
      <c r="I662" t="s">
        <v>18</v>
      </c>
      <c r="J662" t="s">
        <v>13</v>
      </c>
      <c r="K662">
        <v>0</v>
      </c>
      <c r="L662" t="s">
        <v>19</v>
      </c>
      <c r="M662" t="s">
        <v>28</v>
      </c>
      <c r="N662" s="2">
        <v>36</v>
      </c>
      <c r="O662" t="str" cm="1">
        <f t="array" ref="O662">_xlfn.IFS(
  AND(BikePurchase[[#This Row],[Age]]&gt;=18, BikePurchase[[#This Row],[Age]]&lt;=30), "Adolescent",
  AND(BikePurchase[[#This Row],[Age]]&gt;30, BikePurchase[[#This Row],[Age]]&lt;55), "Middle Aged",
  AND(BikePurchase[[#This Row],[Age]]&gt;=55, BikePurchase[[#This Row],[Age]]&lt;90), "Old",
  TRUE, "Invalid"
)</f>
        <v>Middle Aged</v>
      </c>
      <c r="P662" t="s">
        <v>13</v>
      </c>
      <c r="Q662" t="str">
        <f>IF(BikePurchase[[#This Row],[Purchased BikeX]]="No","Not Purchased","Purchased")</f>
        <v>Purchased</v>
      </c>
    </row>
    <row r="663" spans="1:17" x14ac:dyDescent="0.3">
      <c r="A663">
        <v>22976</v>
      </c>
      <c r="B663" t="s">
        <v>31</v>
      </c>
      <c r="C663" t="str">
        <f t="shared" si="20"/>
        <v>Single</v>
      </c>
      <c r="D663" t="s">
        <v>30</v>
      </c>
      <c r="E663" t="str">
        <f t="shared" si="21"/>
        <v>Male</v>
      </c>
      <c r="F663" s="2">
        <v>40000</v>
      </c>
      <c r="G663">
        <v>0</v>
      </c>
      <c r="H663" t="s">
        <v>24</v>
      </c>
      <c r="I663" t="s">
        <v>12</v>
      </c>
      <c r="J663" t="s">
        <v>15</v>
      </c>
      <c r="K663">
        <v>2</v>
      </c>
      <c r="L663" t="s">
        <v>35</v>
      </c>
      <c r="M663" t="s">
        <v>28</v>
      </c>
      <c r="N663" s="2">
        <v>28</v>
      </c>
      <c r="O663" t="str" cm="1">
        <f t="array" ref="O663">_xlfn.IFS(
  AND(BikePurchase[[#This Row],[Age]]&gt;=18, BikePurchase[[#This Row],[Age]]&lt;=30), "Adolescent",
  AND(BikePurchase[[#This Row],[Age]]&gt;30, BikePurchase[[#This Row],[Age]]&lt;55), "Middle Aged",
  AND(BikePurchase[[#This Row],[Age]]&gt;=55, BikePurchase[[#This Row],[Age]]&lt;90), "Old",
  TRUE, "Invalid"
)</f>
        <v>Adolescent</v>
      </c>
      <c r="P663" t="s">
        <v>13</v>
      </c>
      <c r="Q663" t="str">
        <f>IF(BikePurchase[[#This Row],[Purchased BikeX]]="No","Not Purchased","Purchased")</f>
        <v>Purchased</v>
      </c>
    </row>
    <row r="664" spans="1:17" x14ac:dyDescent="0.3">
      <c r="A664">
        <v>27637</v>
      </c>
      <c r="B664" t="s">
        <v>31</v>
      </c>
      <c r="C664" t="str">
        <f t="shared" si="20"/>
        <v>Single</v>
      </c>
      <c r="D664" t="s">
        <v>29</v>
      </c>
      <c r="E664" t="str">
        <f t="shared" si="21"/>
        <v>Female</v>
      </c>
      <c r="F664" s="2">
        <v>100000</v>
      </c>
      <c r="G664">
        <v>1</v>
      </c>
      <c r="H664" t="s">
        <v>16</v>
      </c>
      <c r="I664" t="s">
        <v>18</v>
      </c>
      <c r="J664" t="s">
        <v>15</v>
      </c>
      <c r="K664">
        <v>3</v>
      </c>
      <c r="L664" t="s">
        <v>23</v>
      </c>
      <c r="M664" t="s">
        <v>28</v>
      </c>
      <c r="N664" s="2">
        <v>44</v>
      </c>
      <c r="O664" t="str" cm="1">
        <f t="array" ref="O664">_xlfn.IFS(
  AND(BikePurchase[[#This Row],[Age]]&gt;=18, BikePurchase[[#This Row],[Age]]&lt;=30), "Adolescent",
  AND(BikePurchase[[#This Row],[Age]]&gt;30, BikePurchase[[#This Row],[Age]]&lt;55), "Middle Aged",
  AND(BikePurchase[[#This Row],[Age]]&gt;=55, BikePurchase[[#This Row],[Age]]&lt;90), "Old",
  TRUE, "Invalid"
)</f>
        <v>Middle Aged</v>
      </c>
      <c r="P664" t="s">
        <v>15</v>
      </c>
      <c r="Q664" t="str">
        <f>IF(BikePurchase[[#This Row],[Purchased BikeX]]="No","Not Purchased","Purchased")</f>
        <v>Not Purchased</v>
      </c>
    </row>
    <row r="665" spans="1:17" x14ac:dyDescent="0.3">
      <c r="A665">
        <v>11890</v>
      </c>
      <c r="B665" t="s">
        <v>30</v>
      </c>
      <c r="C665" t="str">
        <f t="shared" si="20"/>
        <v>Married</v>
      </c>
      <c r="D665" t="s">
        <v>29</v>
      </c>
      <c r="E665" t="str">
        <f t="shared" si="21"/>
        <v>Female</v>
      </c>
      <c r="F665" s="2">
        <v>70000</v>
      </c>
      <c r="G665">
        <v>5</v>
      </c>
      <c r="H665" t="s">
        <v>27</v>
      </c>
      <c r="I665" t="s">
        <v>18</v>
      </c>
      <c r="J665" t="s">
        <v>13</v>
      </c>
      <c r="K665">
        <v>1</v>
      </c>
      <c r="L665" t="s">
        <v>35</v>
      </c>
      <c r="M665" t="s">
        <v>28</v>
      </c>
      <c r="N665" s="2">
        <v>47</v>
      </c>
      <c r="O665" t="str" cm="1">
        <f t="array" ref="O665">_xlfn.IFS(
  AND(BikePurchase[[#This Row],[Age]]&gt;=18, BikePurchase[[#This Row],[Age]]&lt;=30), "Adolescent",
  AND(BikePurchase[[#This Row],[Age]]&gt;30, BikePurchase[[#This Row],[Age]]&lt;55), "Middle Aged",
  AND(BikePurchase[[#This Row],[Age]]&gt;=55, BikePurchase[[#This Row],[Age]]&lt;90), "Old",
  TRUE, "Invalid"
)</f>
        <v>Middle Aged</v>
      </c>
      <c r="P665" t="s">
        <v>15</v>
      </c>
      <c r="Q665" t="str">
        <f>IF(BikePurchase[[#This Row],[Purchased BikeX]]="No","Not Purchased","Purchased")</f>
        <v>Not Purchased</v>
      </c>
    </row>
    <row r="666" spans="1:17" x14ac:dyDescent="0.3">
      <c r="A666">
        <v>28580</v>
      </c>
      <c r="B666" t="s">
        <v>30</v>
      </c>
      <c r="C666" t="str">
        <f t="shared" si="20"/>
        <v>Married</v>
      </c>
      <c r="D666" t="s">
        <v>29</v>
      </c>
      <c r="E666" t="str">
        <f t="shared" si="21"/>
        <v>Female</v>
      </c>
      <c r="F666" s="2">
        <v>80000</v>
      </c>
      <c r="G666">
        <v>0</v>
      </c>
      <c r="H666" t="s">
        <v>27</v>
      </c>
      <c r="I666" t="s">
        <v>12</v>
      </c>
      <c r="J666" t="s">
        <v>13</v>
      </c>
      <c r="K666">
        <v>0</v>
      </c>
      <c r="L666" t="s">
        <v>23</v>
      </c>
      <c r="M666" t="s">
        <v>28</v>
      </c>
      <c r="N666" s="2">
        <v>40</v>
      </c>
      <c r="O666" t="str" cm="1">
        <f t="array" ref="O666">_xlfn.IFS(
  AND(BikePurchase[[#This Row],[Age]]&gt;=18, BikePurchase[[#This Row],[Age]]&lt;=30), "Adolescent",
  AND(BikePurchase[[#This Row],[Age]]&gt;30, BikePurchase[[#This Row],[Age]]&lt;55), "Middle Aged",
  AND(BikePurchase[[#This Row],[Age]]&gt;=55, BikePurchase[[#This Row],[Age]]&lt;90), "Old",
  TRUE, "Invalid"
)</f>
        <v>Middle Aged</v>
      </c>
      <c r="P666" t="s">
        <v>13</v>
      </c>
      <c r="Q666" t="str">
        <f>IF(BikePurchase[[#This Row],[Purchased BikeX]]="No","Not Purchased","Purchased")</f>
        <v>Purchased</v>
      </c>
    </row>
    <row r="667" spans="1:17" x14ac:dyDescent="0.3">
      <c r="A667">
        <v>14443</v>
      </c>
      <c r="B667" t="s">
        <v>30</v>
      </c>
      <c r="C667" t="str">
        <f t="shared" si="20"/>
        <v>Married</v>
      </c>
      <c r="D667" t="s">
        <v>30</v>
      </c>
      <c r="E667" t="str">
        <f t="shared" si="21"/>
        <v>Male</v>
      </c>
      <c r="F667" s="2">
        <v>130000</v>
      </c>
      <c r="G667">
        <v>1</v>
      </c>
      <c r="H667" t="s">
        <v>27</v>
      </c>
      <c r="I667" t="s">
        <v>25</v>
      </c>
      <c r="J667" t="s">
        <v>13</v>
      </c>
      <c r="K667">
        <v>4</v>
      </c>
      <c r="L667" t="s">
        <v>35</v>
      </c>
      <c r="M667" t="s">
        <v>28</v>
      </c>
      <c r="N667" s="2">
        <v>40</v>
      </c>
      <c r="O667" t="str" cm="1">
        <f t="array" ref="O667">_xlfn.IFS(
  AND(BikePurchase[[#This Row],[Age]]&gt;=18, BikePurchase[[#This Row],[Age]]&lt;=30), "Adolescent",
  AND(BikePurchase[[#This Row],[Age]]&gt;30, BikePurchase[[#This Row],[Age]]&lt;55), "Middle Aged",
  AND(BikePurchase[[#This Row],[Age]]&gt;=55, BikePurchase[[#This Row],[Age]]&lt;90), "Old",
  TRUE, "Invalid"
)</f>
        <v>Middle Aged</v>
      </c>
      <c r="P667" t="s">
        <v>15</v>
      </c>
      <c r="Q667" t="str">
        <f>IF(BikePurchase[[#This Row],[Purchased BikeX]]="No","Not Purchased","Purchased")</f>
        <v>Not Purchased</v>
      </c>
    </row>
    <row r="668" spans="1:17" x14ac:dyDescent="0.3">
      <c r="A668">
        <v>17864</v>
      </c>
      <c r="B668" t="s">
        <v>30</v>
      </c>
      <c r="C668" t="str">
        <f t="shared" si="20"/>
        <v>Married</v>
      </c>
      <c r="D668" t="s">
        <v>29</v>
      </c>
      <c r="E668" t="str">
        <f t="shared" si="21"/>
        <v>Female</v>
      </c>
      <c r="F668" s="2">
        <v>60000</v>
      </c>
      <c r="G668">
        <v>1</v>
      </c>
      <c r="H668" t="s">
        <v>16</v>
      </c>
      <c r="I668" t="s">
        <v>12</v>
      </c>
      <c r="J668" t="s">
        <v>13</v>
      </c>
      <c r="K668">
        <v>1</v>
      </c>
      <c r="L668" t="s">
        <v>19</v>
      </c>
      <c r="M668" t="s">
        <v>28</v>
      </c>
      <c r="N668" s="2">
        <v>46</v>
      </c>
      <c r="O668" t="str" cm="1">
        <f t="array" ref="O668">_xlfn.IFS(
  AND(BikePurchase[[#This Row],[Age]]&gt;=18, BikePurchase[[#This Row],[Age]]&lt;=30), "Adolescent",
  AND(BikePurchase[[#This Row],[Age]]&gt;30, BikePurchase[[#This Row],[Age]]&lt;55), "Middle Aged",
  AND(BikePurchase[[#This Row],[Age]]&gt;=55, BikePurchase[[#This Row],[Age]]&lt;90), "Old",
  TRUE, "Invalid"
)</f>
        <v>Middle Aged</v>
      </c>
      <c r="P668" t="s">
        <v>13</v>
      </c>
      <c r="Q668" t="str">
        <f>IF(BikePurchase[[#This Row],[Purchased BikeX]]="No","Not Purchased","Purchased")</f>
        <v>Purchased</v>
      </c>
    </row>
    <row r="669" spans="1:17" x14ac:dyDescent="0.3">
      <c r="A669">
        <v>20505</v>
      </c>
      <c r="B669" t="s">
        <v>30</v>
      </c>
      <c r="C669" t="str">
        <f t="shared" si="20"/>
        <v>Married</v>
      </c>
      <c r="D669" t="s">
        <v>29</v>
      </c>
      <c r="E669" t="str">
        <f t="shared" si="21"/>
        <v>Female</v>
      </c>
      <c r="F669" s="2">
        <v>40000</v>
      </c>
      <c r="G669">
        <v>5</v>
      </c>
      <c r="H669" t="s">
        <v>24</v>
      </c>
      <c r="I669" t="s">
        <v>18</v>
      </c>
      <c r="J669" t="s">
        <v>15</v>
      </c>
      <c r="K669">
        <v>2</v>
      </c>
      <c r="L669" t="s">
        <v>48</v>
      </c>
      <c r="M669" t="s">
        <v>28</v>
      </c>
      <c r="N669" s="2">
        <v>61</v>
      </c>
      <c r="O669" t="str" cm="1">
        <f t="array" ref="O669">_xlfn.IFS(
  AND(BikePurchase[[#This Row],[Age]]&gt;=18, BikePurchase[[#This Row],[Age]]&lt;=30), "Adolescent",
  AND(BikePurchase[[#This Row],[Age]]&gt;30, BikePurchase[[#This Row],[Age]]&lt;55), "Middle Aged",
  AND(BikePurchase[[#This Row],[Age]]&gt;=55, BikePurchase[[#This Row],[Age]]&lt;90), "Old",
  TRUE, "Invalid"
)</f>
        <v>Old</v>
      </c>
      <c r="P669" t="s">
        <v>15</v>
      </c>
      <c r="Q669" t="str">
        <f>IF(BikePurchase[[#This Row],[Purchased BikeX]]="No","Not Purchased","Purchased")</f>
        <v>Not Purchased</v>
      </c>
    </row>
    <row r="670" spans="1:17" x14ac:dyDescent="0.3">
      <c r="A670">
        <v>14592</v>
      </c>
      <c r="B670" t="s">
        <v>30</v>
      </c>
      <c r="C670" t="str">
        <f t="shared" si="20"/>
        <v>Married</v>
      </c>
      <c r="D670" t="s">
        <v>29</v>
      </c>
      <c r="E670" t="str">
        <f t="shared" si="21"/>
        <v>Female</v>
      </c>
      <c r="F670" s="2">
        <v>60000</v>
      </c>
      <c r="G670">
        <v>0</v>
      </c>
      <c r="H670" t="s">
        <v>27</v>
      </c>
      <c r="I670" t="s">
        <v>18</v>
      </c>
      <c r="J670" t="s">
        <v>13</v>
      </c>
      <c r="K670">
        <v>0</v>
      </c>
      <c r="L670" t="s">
        <v>35</v>
      </c>
      <c r="M670" t="s">
        <v>28</v>
      </c>
      <c r="N670" s="2">
        <v>40</v>
      </c>
      <c r="O670" t="str" cm="1">
        <f t="array" ref="O670">_xlfn.IFS(
  AND(BikePurchase[[#This Row],[Age]]&gt;=18, BikePurchase[[#This Row],[Age]]&lt;=30), "Adolescent",
  AND(BikePurchase[[#This Row],[Age]]&gt;30, BikePurchase[[#This Row],[Age]]&lt;55), "Middle Aged",
  AND(BikePurchase[[#This Row],[Age]]&gt;=55, BikePurchase[[#This Row],[Age]]&lt;90), "Old",
  TRUE, "Invalid"
)</f>
        <v>Middle Aged</v>
      </c>
      <c r="P670" t="s">
        <v>15</v>
      </c>
      <c r="Q670" t="str">
        <f>IF(BikePurchase[[#This Row],[Purchased BikeX]]="No","Not Purchased","Purchased")</f>
        <v>Not Purchased</v>
      </c>
    </row>
    <row r="671" spans="1:17" x14ac:dyDescent="0.3">
      <c r="A671">
        <v>22227</v>
      </c>
      <c r="B671" t="s">
        <v>30</v>
      </c>
      <c r="C671" t="str">
        <f t="shared" si="20"/>
        <v>Married</v>
      </c>
      <c r="D671" t="s">
        <v>29</v>
      </c>
      <c r="E671" t="str">
        <f t="shared" si="21"/>
        <v>Female</v>
      </c>
      <c r="F671" s="2">
        <v>60000</v>
      </c>
      <c r="G671">
        <v>2</v>
      </c>
      <c r="H671" t="s">
        <v>24</v>
      </c>
      <c r="I671" t="s">
        <v>18</v>
      </c>
      <c r="J671" t="s">
        <v>13</v>
      </c>
      <c r="K671">
        <v>2</v>
      </c>
      <c r="L671" t="s">
        <v>20</v>
      </c>
      <c r="M671" t="s">
        <v>28</v>
      </c>
      <c r="N671" s="2">
        <v>50</v>
      </c>
      <c r="O671" t="str" cm="1">
        <f t="array" ref="O671">_xlfn.IFS(
  AND(BikePurchase[[#This Row],[Age]]&gt;=18, BikePurchase[[#This Row],[Age]]&lt;=30), "Adolescent",
  AND(BikePurchase[[#This Row],[Age]]&gt;30, BikePurchase[[#This Row],[Age]]&lt;55), "Middle Aged",
  AND(BikePurchase[[#This Row],[Age]]&gt;=55, BikePurchase[[#This Row],[Age]]&lt;90), "Old",
  TRUE, "Invalid"
)</f>
        <v>Middle Aged</v>
      </c>
      <c r="P671" t="s">
        <v>15</v>
      </c>
      <c r="Q671" t="str">
        <f>IF(BikePurchase[[#This Row],[Purchased BikeX]]="No","Not Purchased","Purchased")</f>
        <v>Not Purchased</v>
      </c>
    </row>
    <row r="672" spans="1:17" x14ac:dyDescent="0.3">
      <c r="A672">
        <v>21471</v>
      </c>
      <c r="B672" t="s">
        <v>30</v>
      </c>
      <c r="C672" t="str">
        <f t="shared" si="20"/>
        <v>Married</v>
      </c>
      <c r="D672" t="s">
        <v>30</v>
      </c>
      <c r="E672" t="str">
        <f t="shared" si="21"/>
        <v>Male</v>
      </c>
      <c r="F672" s="2">
        <v>70000</v>
      </c>
      <c r="G672">
        <v>2</v>
      </c>
      <c r="H672" t="s">
        <v>16</v>
      </c>
      <c r="I672" t="s">
        <v>18</v>
      </c>
      <c r="J672" t="s">
        <v>13</v>
      </c>
      <c r="K672">
        <v>1</v>
      </c>
      <c r="L672" t="s">
        <v>48</v>
      </c>
      <c r="M672" t="s">
        <v>28</v>
      </c>
      <c r="N672" s="2">
        <v>59</v>
      </c>
      <c r="O672" t="str" cm="1">
        <f t="array" ref="O672">_xlfn.IFS(
  AND(BikePurchase[[#This Row],[Age]]&gt;=18, BikePurchase[[#This Row],[Age]]&lt;=30), "Adolescent",
  AND(BikePurchase[[#This Row],[Age]]&gt;30, BikePurchase[[#This Row],[Age]]&lt;55), "Middle Aged",
  AND(BikePurchase[[#This Row],[Age]]&gt;=55, BikePurchase[[#This Row],[Age]]&lt;90), "Old",
  TRUE, "Invalid"
)</f>
        <v>Old</v>
      </c>
      <c r="P672" t="s">
        <v>15</v>
      </c>
      <c r="Q672" t="str">
        <f>IF(BikePurchase[[#This Row],[Purchased BikeX]]="No","Not Purchased","Purchased")</f>
        <v>Not Purchased</v>
      </c>
    </row>
    <row r="673" spans="1:17" x14ac:dyDescent="0.3">
      <c r="A673">
        <v>22252</v>
      </c>
      <c r="B673" t="s">
        <v>31</v>
      </c>
      <c r="C673" t="str">
        <f t="shared" si="20"/>
        <v>Single</v>
      </c>
      <c r="D673" t="s">
        <v>29</v>
      </c>
      <c r="E673" t="str">
        <f t="shared" si="21"/>
        <v>Female</v>
      </c>
      <c r="F673" s="2">
        <v>60000</v>
      </c>
      <c r="G673">
        <v>1</v>
      </c>
      <c r="H673" t="s">
        <v>27</v>
      </c>
      <c r="I673" t="s">
        <v>18</v>
      </c>
      <c r="J673" t="s">
        <v>13</v>
      </c>
      <c r="K673">
        <v>0</v>
      </c>
      <c r="L673" t="s">
        <v>19</v>
      </c>
      <c r="M673" t="s">
        <v>28</v>
      </c>
      <c r="N673" s="2">
        <v>36</v>
      </c>
      <c r="O673" t="str" cm="1">
        <f t="array" ref="O673">_xlfn.IFS(
  AND(BikePurchase[[#This Row],[Age]]&gt;=18, BikePurchase[[#This Row],[Age]]&lt;=30), "Adolescent",
  AND(BikePurchase[[#This Row],[Age]]&gt;30, BikePurchase[[#This Row],[Age]]&lt;55), "Middle Aged",
  AND(BikePurchase[[#This Row],[Age]]&gt;=55, BikePurchase[[#This Row],[Age]]&lt;90), "Old",
  TRUE, "Invalid"
)</f>
        <v>Middle Aged</v>
      </c>
      <c r="P673" t="s">
        <v>13</v>
      </c>
      <c r="Q673" t="str">
        <f>IF(BikePurchase[[#This Row],[Purchased BikeX]]="No","Not Purchased","Purchased")</f>
        <v>Purchased</v>
      </c>
    </row>
    <row r="674" spans="1:17" x14ac:dyDescent="0.3">
      <c r="A674">
        <v>21260</v>
      </c>
      <c r="B674" t="s">
        <v>31</v>
      </c>
      <c r="C674" t="str">
        <f t="shared" si="20"/>
        <v>Single</v>
      </c>
      <c r="D674" t="s">
        <v>29</v>
      </c>
      <c r="E674" t="str">
        <f t="shared" si="21"/>
        <v>Female</v>
      </c>
      <c r="F674" s="2">
        <v>40000</v>
      </c>
      <c r="G674">
        <v>0</v>
      </c>
      <c r="H674" t="s">
        <v>24</v>
      </c>
      <c r="I674" t="s">
        <v>12</v>
      </c>
      <c r="J674" t="s">
        <v>13</v>
      </c>
      <c r="K674">
        <v>2</v>
      </c>
      <c r="L674" t="s">
        <v>20</v>
      </c>
      <c r="M674" t="s">
        <v>28</v>
      </c>
      <c r="N674" s="2">
        <v>30</v>
      </c>
      <c r="O674" t="str" cm="1">
        <f t="array" ref="O674">_xlfn.IFS(
  AND(BikePurchase[[#This Row],[Age]]&gt;=18, BikePurchase[[#This Row],[Age]]&lt;=30), "Adolescent",
  AND(BikePurchase[[#This Row],[Age]]&gt;30, BikePurchase[[#This Row],[Age]]&lt;55), "Middle Aged",
  AND(BikePurchase[[#This Row],[Age]]&gt;=55, BikePurchase[[#This Row],[Age]]&lt;90), "Old",
  TRUE, "Invalid"
)</f>
        <v>Adolescent</v>
      </c>
      <c r="P674" t="s">
        <v>15</v>
      </c>
      <c r="Q674" t="str">
        <f>IF(BikePurchase[[#This Row],[Purchased BikeX]]="No","Not Purchased","Purchased")</f>
        <v>Not Purchased</v>
      </c>
    </row>
    <row r="675" spans="1:17" x14ac:dyDescent="0.3">
      <c r="A675">
        <v>11817</v>
      </c>
      <c r="B675" t="s">
        <v>31</v>
      </c>
      <c r="C675" t="str">
        <f t="shared" si="20"/>
        <v>Single</v>
      </c>
      <c r="D675" t="s">
        <v>29</v>
      </c>
      <c r="E675" t="str">
        <f t="shared" si="21"/>
        <v>Female</v>
      </c>
      <c r="F675" s="2">
        <v>70000</v>
      </c>
      <c r="G675">
        <v>4</v>
      </c>
      <c r="H675" t="s">
        <v>27</v>
      </c>
      <c r="I675" t="s">
        <v>18</v>
      </c>
      <c r="J675" t="s">
        <v>13</v>
      </c>
      <c r="K675">
        <v>0</v>
      </c>
      <c r="L675" t="s">
        <v>19</v>
      </c>
      <c r="M675" t="s">
        <v>28</v>
      </c>
      <c r="N675" s="2">
        <v>35</v>
      </c>
      <c r="O675" t="str" cm="1">
        <f t="array" ref="O675">_xlfn.IFS(
  AND(BikePurchase[[#This Row],[Age]]&gt;=18, BikePurchase[[#This Row],[Age]]&lt;=30), "Adolescent",
  AND(BikePurchase[[#This Row],[Age]]&gt;30, BikePurchase[[#This Row],[Age]]&lt;55), "Middle Aged",
  AND(BikePurchase[[#This Row],[Age]]&gt;=55, BikePurchase[[#This Row],[Age]]&lt;90), "Old",
  TRUE, "Invalid"
)</f>
        <v>Middle Aged</v>
      </c>
      <c r="P675" t="s">
        <v>13</v>
      </c>
      <c r="Q675" t="str">
        <f>IF(BikePurchase[[#This Row],[Purchased BikeX]]="No","Not Purchased","Purchased")</f>
        <v>Purchased</v>
      </c>
    </row>
    <row r="676" spans="1:17" x14ac:dyDescent="0.3">
      <c r="A676">
        <v>19223</v>
      </c>
      <c r="B676" t="s">
        <v>30</v>
      </c>
      <c r="C676" t="str">
        <f t="shared" si="20"/>
        <v>Married</v>
      </c>
      <c r="D676" t="s">
        <v>29</v>
      </c>
      <c r="E676" t="str">
        <f t="shared" si="21"/>
        <v>Female</v>
      </c>
      <c r="F676" s="2">
        <v>30000</v>
      </c>
      <c r="G676">
        <v>2</v>
      </c>
      <c r="H676" t="s">
        <v>24</v>
      </c>
      <c r="I676" t="s">
        <v>12</v>
      </c>
      <c r="J676" t="s">
        <v>13</v>
      </c>
      <c r="K676">
        <v>2</v>
      </c>
      <c r="L676" t="s">
        <v>23</v>
      </c>
      <c r="M676" t="s">
        <v>28</v>
      </c>
      <c r="N676" s="2">
        <v>48</v>
      </c>
      <c r="O676" t="str" cm="1">
        <f t="array" ref="O676">_xlfn.IFS(
  AND(BikePurchase[[#This Row],[Age]]&gt;=18, BikePurchase[[#This Row],[Age]]&lt;=30), "Adolescent",
  AND(BikePurchase[[#This Row],[Age]]&gt;30, BikePurchase[[#This Row],[Age]]&lt;55), "Middle Aged",
  AND(BikePurchase[[#This Row],[Age]]&gt;=55, BikePurchase[[#This Row],[Age]]&lt;90), "Old",
  TRUE, "Invalid"
)</f>
        <v>Middle Aged</v>
      </c>
      <c r="P676" t="s">
        <v>15</v>
      </c>
      <c r="Q676" t="str">
        <f>IF(BikePurchase[[#This Row],[Purchased BikeX]]="No","Not Purchased","Purchased")</f>
        <v>Not Purchased</v>
      </c>
    </row>
    <row r="677" spans="1:17" x14ac:dyDescent="0.3">
      <c r="A677">
        <v>18517</v>
      </c>
      <c r="B677" t="s">
        <v>30</v>
      </c>
      <c r="C677" t="str">
        <f t="shared" si="20"/>
        <v>Married</v>
      </c>
      <c r="D677" t="s">
        <v>30</v>
      </c>
      <c r="E677" t="str">
        <f t="shared" si="21"/>
        <v>Male</v>
      </c>
      <c r="F677" s="2">
        <v>100000</v>
      </c>
      <c r="G677">
        <v>3</v>
      </c>
      <c r="H677" t="s">
        <v>11</v>
      </c>
      <c r="I677" t="s">
        <v>25</v>
      </c>
      <c r="J677" t="s">
        <v>13</v>
      </c>
      <c r="K677">
        <v>4</v>
      </c>
      <c r="L677" t="s">
        <v>35</v>
      </c>
      <c r="M677" t="s">
        <v>28</v>
      </c>
      <c r="N677" s="2">
        <v>41</v>
      </c>
      <c r="O677" t="str" cm="1">
        <f t="array" ref="O677">_xlfn.IFS(
  AND(BikePurchase[[#This Row],[Age]]&gt;=18, BikePurchase[[#This Row],[Age]]&lt;=30), "Adolescent",
  AND(BikePurchase[[#This Row],[Age]]&gt;30, BikePurchase[[#This Row],[Age]]&lt;55), "Middle Aged",
  AND(BikePurchase[[#This Row],[Age]]&gt;=55, BikePurchase[[#This Row],[Age]]&lt;90), "Old",
  TRUE, "Invalid"
)</f>
        <v>Middle Aged</v>
      </c>
      <c r="P677" t="s">
        <v>15</v>
      </c>
      <c r="Q677" t="str">
        <f>IF(BikePurchase[[#This Row],[Purchased BikeX]]="No","Not Purchased","Purchased")</f>
        <v>Not Purchased</v>
      </c>
    </row>
    <row r="678" spans="1:17" x14ac:dyDescent="0.3">
      <c r="A678">
        <v>21717</v>
      </c>
      <c r="B678" t="s">
        <v>30</v>
      </c>
      <c r="C678" t="str">
        <f t="shared" si="20"/>
        <v>Married</v>
      </c>
      <c r="D678" t="s">
        <v>30</v>
      </c>
      <c r="E678" t="str">
        <f t="shared" si="21"/>
        <v>Male</v>
      </c>
      <c r="F678" s="2">
        <v>40000</v>
      </c>
      <c r="G678">
        <v>2</v>
      </c>
      <c r="H678" t="s">
        <v>16</v>
      </c>
      <c r="I678" t="s">
        <v>17</v>
      </c>
      <c r="J678" t="s">
        <v>13</v>
      </c>
      <c r="K678">
        <v>1</v>
      </c>
      <c r="L678" t="s">
        <v>35</v>
      </c>
      <c r="M678" t="s">
        <v>28</v>
      </c>
      <c r="N678" s="2">
        <v>47</v>
      </c>
      <c r="O678" t="str" cm="1">
        <f t="array" ref="O678">_xlfn.IFS(
  AND(BikePurchase[[#This Row],[Age]]&gt;=18, BikePurchase[[#This Row],[Age]]&lt;=30), "Adolescent",
  AND(BikePurchase[[#This Row],[Age]]&gt;30, BikePurchase[[#This Row],[Age]]&lt;55), "Middle Aged",
  AND(BikePurchase[[#This Row],[Age]]&gt;=55, BikePurchase[[#This Row],[Age]]&lt;90), "Old",
  TRUE, "Invalid"
)</f>
        <v>Middle Aged</v>
      </c>
      <c r="P678" t="s">
        <v>15</v>
      </c>
      <c r="Q678" t="str">
        <f>IF(BikePurchase[[#This Row],[Purchased BikeX]]="No","Not Purchased","Purchased")</f>
        <v>Not Purchased</v>
      </c>
    </row>
    <row r="679" spans="1:17" x14ac:dyDescent="0.3">
      <c r="A679">
        <v>13760</v>
      </c>
      <c r="B679" t="s">
        <v>30</v>
      </c>
      <c r="C679" t="str">
        <f t="shared" si="20"/>
        <v>Married</v>
      </c>
      <c r="D679" t="s">
        <v>30</v>
      </c>
      <c r="E679" t="str">
        <f t="shared" si="21"/>
        <v>Male</v>
      </c>
      <c r="F679" s="2">
        <v>60000</v>
      </c>
      <c r="G679">
        <v>4</v>
      </c>
      <c r="H679" t="s">
        <v>27</v>
      </c>
      <c r="I679" t="s">
        <v>12</v>
      </c>
      <c r="J679" t="s">
        <v>15</v>
      </c>
      <c r="K679">
        <v>0</v>
      </c>
      <c r="L679" t="s">
        <v>35</v>
      </c>
      <c r="M679" t="s">
        <v>28</v>
      </c>
      <c r="N679" s="2">
        <v>47</v>
      </c>
      <c r="O679" t="str" cm="1">
        <f t="array" ref="O679">_xlfn.IFS(
  AND(BikePurchase[[#This Row],[Age]]&gt;=18, BikePurchase[[#This Row],[Age]]&lt;=30), "Adolescent",
  AND(BikePurchase[[#This Row],[Age]]&gt;30, BikePurchase[[#This Row],[Age]]&lt;55), "Middle Aged",
  AND(BikePurchase[[#This Row],[Age]]&gt;=55, BikePurchase[[#This Row],[Age]]&lt;90), "Old",
  TRUE, "Invalid"
)</f>
        <v>Middle Aged</v>
      </c>
      <c r="P679" t="s">
        <v>15</v>
      </c>
      <c r="Q679" t="str">
        <f>IF(BikePurchase[[#This Row],[Purchased BikeX]]="No","Not Purchased","Purchased")</f>
        <v>Not Purchased</v>
      </c>
    </row>
    <row r="680" spans="1:17" x14ac:dyDescent="0.3">
      <c r="A680">
        <v>18145</v>
      </c>
      <c r="B680" t="s">
        <v>30</v>
      </c>
      <c r="C680" t="str">
        <f t="shared" si="20"/>
        <v>Married</v>
      </c>
      <c r="D680" t="s">
        <v>30</v>
      </c>
      <c r="E680" t="str">
        <f t="shared" si="21"/>
        <v>Male</v>
      </c>
      <c r="F680" s="2">
        <v>80000</v>
      </c>
      <c r="G680">
        <v>5</v>
      </c>
      <c r="H680" t="s">
        <v>11</v>
      </c>
      <c r="I680" t="s">
        <v>25</v>
      </c>
      <c r="J680" t="s">
        <v>15</v>
      </c>
      <c r="K680">
        <v>2</v>
      </c>
      <c r="L680" t="s">
        <v>19</v>
      </c>
      <c r="M680" t="s">
        <v>14</v>
      </c>
      <c r="N680" s="2">
        <v>62</v>
      </c>
      <c r="O680" t="str" cm="1">
        <f t="array" ref="O680">_xlfn.IFS(
  AND(BikePurchase[[#This Row],[Age]]&gt;=18, BikePurchase[[#This Row],[Age]]&lt;=30), "Adolescent",
  AND(BikePurchase[[#This Row],[Age]]&gt;30, BikePurchase[[#This Row],[Age]]&lt;55), "Middle Aged",
  AND(BikePurchase[[#This Row],[Age]]&gt;=55, BikePurchase[[#This Row],[Age]]&lt;90), "Old",
  TRUE, "Invalid"
)</f>
        <v>Old</v>
      </c>
      <c r="P680" t="s">
        <v>15</v>
      </c>
      <c r="Q680" t="str">
        <f>IF(BikePurchase[[#This Row],[Purchased BikeX]]="No","Not Purchased","Purchased")</f>
        <v>Not Purchased</v>
      </c>
    </row>
    <row r="681" spans="1:17" x14ac:dyDescent="0.3">
      <c r="A681">
        <v>21770</v>
      </c>
      <c r="B681" t="s">
        <v>30</v>
      </c>
      <c r="C681" t="str">
        <f t="shared" si="20"/>
        <v>Married</v>
      </c>
      <c r="D681" t="s">
        <v>30</v>
      </c>
      <c r="E681" t="str">
        <f t="shared" si="21"/>
        <v>Male</v>
      </c>
      <c r="F681" s="2">
        <v>60000</v>
      </c>
      <c r="G681">
        <v>4</v>
      </c>
      <c r="H681" t="s">
        <v>11</v>
      </c>
      <c r="I681" t="s">
        <v>25</v>
      </c>
      <c r="J681" t="s">
        <v>13</v>
      </c>
      <c r="K681">
        <v>2</v>
      </c>
      <c r="L681" t="s">
        <v>48</v>
      </c>
      <c r="M681" t="s">
        <v>28</v>
      </c>
      <c r="N681" s="2">
        <v>60</v>
      </c>
      <c r="O681" t="str" cm="1">
        <f t="array" ref="O681">_xlfn.IFS(
  AND(BikePurchase[[#This Row],[Age]]&gt;=18, BikePurchase[[#This Row],[Age]]&lt;=30), "Adolescent",
  AND(BikePurchase[[#This Row],[Age]]&gt;30, BikePurchase[[#This Row],[Age]]&lt;55), "Middle Aged",
  AND(BikePurchase[[#This Row],[Age]]&gt;=55, BikePurchase[[#This Row],[Age]]&lt;90), "Old",
  TRUE, "Invalid"
)</f>
        <v>Old</v>
      </c>
      <c r="P681" t="s">
        <v>15</v>
      </c>
      <c r="Q681" t="str">
        <f>IF(BikePurchase[[#This Row],[Purchased BikeX]]="No","Not Purchased","Purchased")</f>
        <v>Not Purchased</v>
      </c>
    </row>
    <row r="682" spans="1:17" x14ac:dyDescent="0.3">
      <c r="A682">
        <v>11165</v>
      </c>
      <c r="B682" t="s">
        <v>30</v>
      </c>
      <c r="C682" t="str">
        <f t="shared" si="20"/>
        <v>Married</v>
      </c>
      <c r="D682" t="s">
        <v>29</v>
      </c>
      <c r="E682" t="str">
        <f t="shared" si="21"/>
        <v>Female</v>
      </c>
      <c r="F682" s="2">
        <v>60000</v>
      </c>
      <c r="G682">
        <v>0</v>
      </c>
      <c r="H682" t="s">
        <v>16</v>
      </c>
      <c r="I682" t="s">
        <v>12</v>
      </c>
      <c r="J682" t="s">
        <v>15</v>
      </c>
      <c r="K682">
        <v>1</v>
      </c>
      <c r="L682" t="s">
        <v>23</v>
      </c>
      <c r="M682" t="s">
        <v>28</v>
      </c>
      <c r="N682" s="2">
        <v>33</v>
      </c>
      <c r="O682" t="str" cm="1">
        <f t="array" ref="O682">_xlfn.IFS(
  AND(BikePurchase[[#This Row],[Age]]&gt;=18, BikePurchase[[#This Row],[Age]]&lt;=30), "Adolescent",
  AND(BikePurchase[[#This Row],[Age]]&gt;30, BikePurchase[[#This Row],[Age]]&lt;55), "Middle Aged",
  AND(BikePurchase[[#This Row],[Age]]&gt;=55, BikePurchase[[#This Row],[Age]]&lt;90), "Old",
  TRUE, "Invalid"
)</f>
        <v>Middle Aged</v>
      </c>
      <c r="P682" t="s">
        <v>15</v>
      </c>
      <c r="Q682" t="str">
        <f>IF(BikePurchase[[#This Row],[Purchased BikeX]]="No","Not Purchased","Purchased")</f>
        <v>Not Purchased</v>
      </c>
    </row>
    <row r="683" spans="1:17" x14ac:dyDescent="0.3">
      <c r="A683">
        <v>16377</v>
      </c>
      <c r="B683" t="s">
        <v>31</v>
      </c>
      <c r="C683" t="str">
        <f t="shared" si="20"/>
        <v>Single</v>
      </c>
      <c r="D683" t="s">
        <v>29</v>
      </c>
      <c r="E683" t="str">
        <f t="shared" si="21"/>
        <v>Female</v>
      </c>
      <c r="F683" s="2">
        <v>80000</v>
      </c>
      <c r="G683">
        <v>4</v>
      </c>
      <c r="H683" t="s">
        <v>27</v>
      </c>
      <c r="I683" t="s">
        <v>12</v>
      </c>
      <c r="J683" t="s">
        <v>15</v>
      </c>
      <c r="K683">
        <v>0</v>
      </c>
      <c r="L683" t="s">
        <v>35</v>
      </c>
      <c r="M683" t="s">
        <v>28</v>
      </c>
      <c r="N683" s="2">
        <v>47</v>
      </c>
      <c r="O683" t="str" cm="1">
        <f t="array" ref="O683">_xlfn.IFS(
  AND(BikePurchase[[#This Row],[Age]]&gt;=18, BikePurchase[[#This Row],[Age]]&lt;=30), "Adolescent",
  AND(BikePurchase[[#This Row],[Age]]&gt;30, BikePurchase[[#This Row],[Age]]&lt;55), "Middle Aged",
  AND(BikePurchase[[#This Row],[Age]]&gt;=55, BikePurchase[[#This Row],[Age]]&lt;90), "Old",
  TRUE, "Invalid"
)</f>
        <v>Middle Aged</v>
      </c>
      <c r="P683" t="s">
        <v>15</v>
      </c>
      <c r="Q683" t="str">
        <f>IF(BikePurchase[[#This Row],[Purchased BikeX]]="No","Not Purchased","Purchased")</f>
        <v>Not Purchased</v>
      </c>
    </row>
    <row r="684" spans="1:17" x14ac:dyDescent="0.3">
      <c r="A684">
        <v>26248</v>
      </c>
      <c r="B684" t="s">
        <v>30</v>
      </c>
      <c r="C684" t="str">
        <f t="shared" si="20"/>
        <v>Married</v>
      </c>
      <c r="D684" t="s">
        <v>30</v>
      </c>
      <c r="E684" t="str">
        <f t="shared" si="21"/>
        <v>Male</v>
      </c>
      <c r="F684" s="2">
        <v>20000</v>
      </c>
      <c r="G684">
        <v>3</v>
      </c>
      <c r="H684" t="s">
        <v>26</v>
      </c>
      <c r="I684" t="s">
        <v>17</v>
      </c>
      <c r="J684" t="s">
        <v>15</v>
      </c>
      <c r="K684">
        <v>2</v>
      </c>
      <c r="L684" t="s">
        <v>35</v>
      </c>
      <c r="M684" t="s">
        <v>28</v>
      </c>
      <c r="N684" s="2">
        <v>52</v>
      </c>
      <c r="O684" t="str" cm="1">
        <f t="array" ref="O684">_xlfn.IFS(
  AND(BikePurchase[[#This Row],[Age]]&gt;=18, BikePurchase[[#This Row],[Age]]&lt;=30), "Adolescent",
  AND(BikePurchase[[#This Row],[Age]]&gt;30, BikePurchase[[#This Row],[Age]]&lt;55), "Middle Aged",
  AND(BikePurchase[[#This Row],[Age]]&gt;=55, BikePurchase[[#This Row],[Age]]&lt;90), "Old",
  TRUE, "Invalid"
)</f>
        <v>Middle Aged</v>
      </c>
      <c r="P684" t="s">
        <v>15</v>
      </c>
      <c r="Q684" t="str">
        <f>IF(BikePurchase[[#This Row],[Purchased BikeX]]="No","Not Purchased","Purchased")</f>
        <v>Not Purchased</v>
      </c>
    </row>
    <row r="685" spans="1:17" x14ac:dyDescent="0.3">
      <c r="A685">
        <v>23461</v>
      </c>
      <c r="B685" t="s">
        <v>30</v>
      </c>
      <c r="C685" t="str">
        <f t="shared" si="20"/>
        <v>Married</v>
      </c>
      <c r="D685" t="s">
        <v>29</v>
      </c>
      <c r="E685" t="str">
        <f t="shared" si="21"/>
        <v>Female</v>
      </c>
      <c r="F685" s="2">
        <v>90000</v>
      </c>
      <c r="G685">
        <v>5</v>
      </c>
      <c r="H685" t="s">
        <v>16</v>
      </c>
      <c r="I685" t="s">
        <v>18</v>
      </c>
      <c r="J685" t="s">
        <v>13</v>
      </c>
      <c r="K685">
        <v>3</v>
      </c>
      <c r="L685" t="s">
        <v>19</v>
      </c>
      <c r="M685" t="s">
        <v>28</v>
      </c>
      <c r="N685" s="2">
        <v>40</v>
      </c>
      <c r="O685" t="str" cm="1">
        <f t="array" ref="O685">_xlfn.IFS(
  AND(BikePurchase[[#This Row],[Age]]&gt;=18, BikePurchase[[#This Row],[Age]]&lt;=30), "Adolescent",
  AND(BikePurchase[[#This Row],[Age]]&gt;30, BikePurchase[[#This Row],[Age]]&lt;55), "Middle Aged",
  AND(BikePurchase[[#This Row],[Age]]&gt;=55, BikePurchase[[#This Row],[Age]]&lt;90), "Old",
  TRUE, "Invalid"
)</f>
        <v>Middle Aged</v>
      </c>
      <c r="P685" t="s">
        <v>15</v>
      </c>
      <c r="Q685" t="str">
        <f>IF(BikePurchase[[#This Row],[Purchased BikeX]]="No","Not Purchased","Purchased")</f>
        <v>Not Purchased</v>
      </c>
    </row>
    <row r="686" spans="1:17" x14ac:dyDescent="0.3">
      <c r="A686">
        <v>29133</v>
      </c>
      <c r="B686" t="s">
        <v>31</v>
      </c>
      <c r="C686" t="str">
        <f t="shared" si="20"/>
        <v>Single</v>
      </c>
      <c r="D686" t="s">
        <v>29</v>
      </c>
      <c r="E686" t="str">
        <f t="shared" si="21"/>
        <v>Female</v>
      </c>
      <c r="F686" s="2">
        <v>60000</v>
      </c>
      <c r="G686">
        <v>4</v>
      </c>
      <c r="H686" t="s">
        <v>11</v>
      </c>
      <c r="I686" t="s">
        <v>12</v>
      </c>
      <c r="J686" t="s">
        <v>15</v>
      </c>
      <c r="K686">
        <v>2</v>
      </c>
      <c r="L686" t="s">
        <v>35</v>
      </c>
      <c r="M686" t="s">
        <v>28</v>
      </c>
      <c r="N686" s="2">
        <v>42</v>
      </c>
      <c r="O686" t="str" cm="1">
        <f t="array" ref="O686">_xlfn.IFS(
  AND(BikePurchase[[#This Row],[Age]]&gt;=18, BikePurchase[[#This Row],[Age]]&lt;=30), "Adolescent",
  AND(BikePurchase[[#This Row],[Age]]&gt;30, BikePurchase[[#This Row],[Age]]&lt;55), "Middle Aged",
  AND(BikePurchase[[#This Row],[Age]]&gt;=55, BikePurchase[[#This Row],[Age]]&lt;90), "Old",
  TRUE, "Invalid"
)</f>
        <v>Middle Aged</v>
      </c>
      <c r="P686" t="s">
        <v>15</v>
      </c>
      <c r="Q686" t="str">
        <f>IF(BikePurchase[[#This Row],[Purchased BikeX]]="No","Not Purchased","Purchased")</f>
        <v>Not Purchased</v>
      </c>
    </row>
    <row r="687" spans="1:17" x14ac:dyDescent="0.3">
      <c r="A687">
        <v>27673</v>
      </c>
      <c r="B687" t="s">
        <v>31</v>
      </c>
      <c r="C687" t="str">
        <f t="shared" si="20"/>
        <v>Single</v>
      </c>
      <c r="D687" t="s">
        <v>29</v>
      </c>
      <c r="E687" t="str">
        <f t="shared" si="21"/>
        <v>Female</v>
      </c>
      <c r="F687" s="2">
        <v>60000</v>
      </c>
      <c r="G687">
        <v>3</v>
      </c>
      <c r="H687" t="s">
        <v>27</v>
      </c>
      <c r="I687" t="s">
        <v>25</v>
      </c>
      <c r="J687" t="s">
        <v>13</v>
      </c>
      <c r="K687">
        <v>2</v>
      </c>
      <c r="L687" t="s">
        <v>20</v>
      </c>
      <c r="M687" t="s">
        <v>28</v>
      </c>
      <c r="N687" s="2">
        <v>53</v>
      </c>
      <c r="O687" t="str" cm="1">
        <f t="array" ref="O687">_xlfn.IFS(
  AND(BikePurchase[[#This Row],[Age]]&gt;=18, BikePurchase[[#This Row],[Age]]&lt;=30), "Adolescent",
  AND(BikePurchase[[#This Row],[Age]]&gt;30, BikePurchase[[#This Row],[Age]]&lt;55), "Middle Aged",
  AND(BikePurchase[[#This Row],[Age]]&gt;=55, BikePurchase[[#This Row],[Age]]&lt;90), "Old",
  TRUE, "Invalid"
)</f>
        <v>Middle Aged</v>
      </c>
      <c r="P687" t="s">
        <v>13</v>
      </c>
      <c r="Q687" t="str">
        <f>IF(BikePurchase[[#This Row],[Purchased BikeX]]="No","Not Purchased","Purchased")</f>
        <v>Purchased</v>
      </c>
    </row>
    <row r="688" spans="1:17" x14ac:dyDescent="0.3">
      <c r="A688">
        <v>12774</v>
      </c>
      <c r="B688" t="s">
        <v>30</v>
      </c>
      <c r="C688" t="str">
        <f t="shared" si="20"/>
        <v>Married</v>
      </c>
      <c r="D688" t="s">
        <v>29</v>
      </c>
      <c r="E688" t="str">
        <f t="shared" si="21"/>
        <v>Female</v>
      </c>
      <c r="F688" s="2">
        <v>40000</v>
      </c>
      <c r="G688">
        <v>1</v>
      </c>
      <c r="H688" t="s">
        <v>16</v>
      </c>
      <c r="I688" t="s">
        <v>17</v>
      </c>
      <c r="J688" t="s">
        <v>13</v>
      </c>
      <c r="K688">
        <v>1</v>
      </c>
      <c r="L688" t="s">
        <v>23</v>
      </c>
      <c r="M688" t="s">
        <v>28</v>
      </c>
      <c r="N688" s="2">
        <v>51</v>
      </c>
      <c r="O688" t="str" cm="1">
        <f t="array" ref="O688">_xlfn.IFS(
  AND(BikePurchase[[#This Row],[Age]]&gt;=18, BikePurchase[[#This Row],[Age]]&lt;=30), "Adolescent",
  AND(BikePurchase[[#This Row],[Age]]&gt;30, BikePurchase[[#This Row],[Age]]&lt;55), "Middle Aged",
  AND(BikePurchase[[#This Row],[Age]]&gt;=55, BikePurchase[[#This Row],[Age]]&lt;90), "Old",
  TRUE, "Invalid"
)</f>
        <v>Middle Aged</v>
      </c>
      <c r="P688" t="s">
        <v>13</v>
      </c>
      <c r="Q688" t="str">
        <f>IF(BikePurchase[[#This Row],[Purchased BikeX]]="No","Not Purchased","Purchased")</f>
        <v>Purchased</v>
      </c>
    </row>
    <row r="689" spans="1:17" x14ac:dyDescent="0.3">
      <c r="A689">
        <v>18910</v>
      </c>
      <c r="B689" t="s">
        <v>31</v>
      </c>
      <c r="C689" t="str">
        <f t="shared" si="20"/>
        <v>Single</v>
      </c>
      <c r="D689" t="s">
        <v>30</v>
      </c>
      <c r="E689" t="str">
        <f t="shared" si="21"/>
        <v>Male</v>
      </c>
      <c r="F689" s="2">
        <v>30000</v>
      </c>
      <c r="G689">
        <v>0</v>
      </c>
      <c r="H689" t="s">
        <v>16</v>
      </c>
      <c r="I689" t="s">
        <v>12</v>
      </c>
      <c r="J689" t="s">
        <v>13</v>
      </c>
      <c r="K689">
        <v>2</v>
      </c>
      <c r="L689" t="s">
        <v>20</v>
      </c>
      <c r="M689" t="s">
        <v>28</v>
      </c>
      <c r="N689" s="2">
        <v>30</v>
      </c>
      <c r="O689" t="str" cm="1">
        <f t="array" ref="O689">_xlfn.IFS(
  AND(BikePurchase[[#This Row],[Age]]&gt;=18, BikePurchase[[#This Row],[Age]]&lt;=30), "Adolescent",
  AND(BikePurchase[[#This Row],[Age]]&gt;30, BikePurchase[[#This Row],[Age]]&lt;55), "Middle Aged",
  AND(BikePurchase[[#This Row],[Age]]&gt;=55, BikePurchase[[#This Row],[Age]]&lt;90), "Old",
  TRUE, "Invalid"
)</f>
        <v>Adolescent</v>
      </c>
      <c r="P689" t="s">
        <v>15</v>
      </c>
      <c r="Q689" t="str">
        <f>IF(BikePurchase[[#This Row],[Purchased BikeX]]="No","Not Purchased","Purchased")</f>
        <v>Not Purchased</v>
      </c>
    </row>
    <row r="690" spans="1:17" x14ac:dyDescent="0.3">
      <c r="A690">
        <v>11699</v>
      </c>
      <c r="B690" t="s">
        <v>31</v>
      </c>
      <c r="C690" t="str">
        <f t="shared" si="20"/>
        <v>Single</v>
      </c>
      <c r="D690" t="s">
        <v>30</v>
      </c>
      <c r="E690" t="str">
        <f t="shared" si="21"/>
        <v>Male</v>
      </c>
      <c r="F690" s="2">
        <v>60000</v>
      </c>
      <c r="G690">
        <v>0</v>
      </c>
      <c r="H690" t="s">
        <v>11</v>
      </c>
      <c r="I690" t="s">
        <v>12</v>
      </c>
      <c r="J690" t="s">
        <v>15</v>
      </c>
      <c r="K690">
        <v>2</v>
      </c>
      <c r="L690" t="s">
        <v>35</v>
      </c>
      <c r="M690" t="s">
        <v>28</v>
      </c>
      <c r="N690" s="2">
        <v>30</v>
      </c>
      <c r="O690" t="str" cm="1">
        <f t="array" ref="O690">_xlfn.IFS(
  AND(BikePurchase[[#This Row],[Age]]&gt;=18, BikePurchase[[#This Row],[Age]]&lt;=30), "Adolescent",
  AND(BikePurchase[[#This Row],[Age]]&gt;30, BikePurchase[[#This Row],[Age]]&lt;55), "Middle Aged",
  AND(BikePurchase[[#This Row],[Age]]&gt;=55, BikePurchase[[#This Row],[Age]]&lt;90), "Old",
  TRUE, "Invalid"
)</f>
        <v>Adolescent</v>
      </c>
      <c r="P690" t="s">
        <v>15</v>
      </c>
      <c r="Q690" t="str">
        <f>IF(BikePurchase[[#This Row],[Purchased BikeX]]="No","Not Purchased","Purchased")</f>
        <v>Not Purchased</v>
      </c>
    </row>
    <row r="691" spans="1:17" x14ac:dyDescent="0.3">
      <c r="A691">
        <v>16725</v>
      </c>
      <c r="B691" t="s">
        <v>30</v>
      </c>
      <c r="C691" t="str">
        <f t="shared" si="20"/>
        <v>Married</v>
      </c>
      <c r="D691" t="s">
        <v>30</v>
      </c>
      <c r="E691" t="str">
        <f t="shared" si="21"/>
        <v>Male</v>
      </c>
      <c r="F691" s="2">
        <v>30000</v>
      </c>
      <c r="G691">
        <v>0</v>
      </c>
      <c r="H691" t="s">
        <v>24</v>
      </c>
      <c r="I691" t="s">
        <v>12</v>
      </c>
      <c r="J691" t="s">
        <v>13</v>
      </c>
      <c r="K691">
        <v>2</v>
      </c>
      <c r="L691" t="s">
        <v>20</v>
      </c>
      <c r="M691" t="s">
        <v>28</v>
      </c>
      <c r="N691" s="2">
        <v>26</v>
      </c>
      <c r="O691" t="str" cm="1">
        <f t="array" ref="O691">_xlfn.IFS(
  AND(BikePurchase[[#This Row],[Age]]&gt;=18, BikePurchase[[#This Row],[Age]]&lt;=30), "Adolescent",
  AND(BikePurchase[[#This Row],[Age]]&gt;30, BikePurchase[[#This Row],[Age]]&lt;55), "Middle Aged",
  AND(BikePurchase[[#This Row],[Age]]&gt;=55, BikePurchase[[#This Row],[Age]]&lt;90), "Old",
  TRUE, "Invalid"
)</f>
        <v>Adolescent</v>
      </c>
      <c r="P691" t="s">
        <v>15</v>
      </c>
      <c r="Q691" t="str">
        <f>IF(BikePurchase[[#This Row],[Purchased BikeX]]="No","Not Purchased","Purchased")</f>
        <v>Not Purchased</v>
      </c>
    </row>
    <row r="692" spans="1:17" x14ac:dyDescent="0.3">
      <c r="A692">
        <v>28269</v>
      </c>
      <c r="B692" t="s">
        <v>31</v>
      </c>
      <c r="C692" t="str">
        <f t="shared" si="20"/>
        <v>Single</v>
      </c>
      <c r="D692" t="s">
        <v>29</v>
      </c>
      <c r="E692" t="str">
        <f t="shared" si="21"/>
        <v>Female</v>
      </c>
      <c r="F692" s="2">
        <v>130000</v>
      </c>
      <c r="G692">
        <v>1</v>
      </c>
      <c r="H692" t="s">
        <v>11</v>
      </c>
      <c r="I692" t="s">
        <v>25</v>
      </c>
      <c r="J692" t="s">
        <v>15</v>
      </c>
      <c r="K692">
        <v>1</v>
      </c>
      <c r="L692" t="s">
        <v>19</v>
      </c>
      <c r="M692" t="s">
        <v>28</v>
      </c>
      <c r="N692" s="2">
        <v>45</v>
      </c>
      <c r="O692" t="str" cm="1">
        <f t="array" ref="O692">_xlfn.IFS(
  AND(BikePurchase[[#This Row],[Age]]&gt;=18, BikePurchase[[#This Row],[Age]]&lt;=30), "Adolescent",
  AND(BikePurchase[[#This Row],[Age]]&gt;30, BikePurchase[[#This Row],[Age]]&lt;55), "Middle Aged",
  AND(BikePurchase[[#This Row],[Age]]&gt;=55, BikePurchase[[#This Row],[Age]]&lt;90), "Old",
  TRUE, "Invalid"
)</f>
        <v>Middle Aged</v>
      </c>
      <c r="P692" t="s">
        <v>15</v>
      </c>
      <c r="Q692" t="str">
        <f>IF(BikePurchase[[#This Row],[Purchased BikeX]]="No","Not Purchased","Purchased")</f>
        <v>Not Purchased</v>
      </c>
    </row>
    <row r="693" spans="1:17" x14ac:dyDescent="0.3">
      <c r="A693">
        <v>23144</v>
      </c>
      <c r="B693" t="s">
        <v>30</v>
      </c>
      <c r="C693" t="str">
        <f t="shared" si="20"/>
        <v>Married</v>
      </c>
      <c r="D693" t="s">
        <v>30</v>
      </c>
      <c r="E693" t="str">
        <f t="shared" si="21"/>
        <v>Male</v>
      </c>
      <c r="F693" s="2">
        <v>50000</v>
      </c>
      <c r="G693">
        <v>1</v>
      </c>
      <c r="H693" t="s">
        <v>11</v>
      </c>
      <c r="I693" t="s">
        <v>12</v>
      </c>
      <c r="J693" t="s">
        <v>13</v>
      </c>
      <c r="K693">
        <v>0</v>
      </c>
      <c r="L693" t="s">
        <v>35</v>
      </c>
      <c r="M693" t="s">
        <v>28</v>
      </c>
      <c r="N693" s="2">
        <v>34</v>
      </c>
      <c r="O693" t="str" cm="1">
        <f t="array" ref="O693">_xlfn.IFS(
  AND(BikePurchase[[#This Row],[Age]]&gt;=18, BikePurchase[[#This Row],[Age]]&lt;=30), "Adolescent",
  AND(BikePurchase[[#This Row],[Age]]&gt;30, BikePurchase[[#This Row],[Age]]&lt;55), "Middle Aged",
  AND(BikePurchase[[#This Row],[Age]]&gt;=55, BikePurchase[[#This Row],[Age]]&lt;90), "Old",
  TRUE, "Invalid"
)</f>
        <v>Middle Aged</v>
      </c>
      <c r="P693" t="s">
        <v>13</v>
      </c>
      <c r="Q693" t="str">
        <f>IF(BikePurchase[[#This Row],[Purchased BikeX]]="No","Not Purchased","Purchased")</f>
        <v>Purchased</v>
      </c>
    </row>
    <row r="694" spans="1:17" x14ac:dyDescent="0.3">
      <c r="A694">
        <v>23376</v>
      </c>
      <c r="B694" t="s">
        <v>30</v>
      </c>
      <c r="C694" t="str">
        <f t="shared" si="20"/>
        <v>Married</v>
      </c>
      <c r="D694" t="s">
        <v>30</v>
      </c>
      <c r="E694" t="str">
        <f t="shared" si="21"/>
        <v>Male</v>
      </c>
      <c r="F694" s="2">
        <v>70000</v>
      </c>
      <c r="G694">
        <v>1</v>
      </c>
      <c r="H694" t="s">
        <v>11</v>
      </c>
      <c r="I694" t="s">
        <v>18</v>
      </c>
      <c r="J694" t="s">
        <v>13</v>
      </c>
      <c r="K694">
        <v>1</v>
      </c>
      <c r="L694" t="s">
        <v>19</v>
      </c>
      <c r="M694" t="s">
        <v>28</v>
      </c>
      <c r="N694" s="2">
        <v>44</v>
      </c>
      <c r="O694" t="str" cm="1">
        <f t="array" ref="O694">_xlfn.IFS(
  AND(BikePurchase[[#This Row],[Age]]&gt;=18, BikePurchase[[#This Row],[Age]]&lt;=30), "Adolescent",
  AND(BikePurchase[[#This Row],[Age]]&gt;30, BikePurchase[[#This Row],[Age]]&lt;55), "Middle Aged",
  AND(BikePurchase[[#This Row],[Age]]&gt;=55, BikePurchase[[#This Row],[Age]]&lt;90), "Old",
  TRUE, "Invalid"
)</f>
        <v>Middle Aged</v>
      </c>
      <c r="P694" t="s">
        <v>13</v>
      </c>
      <c r="Q694" t="str">
        <f>IF(BikePurchase[[#This Row],[Purchased BikeX]]="No","Not Purchased","Purchased")</f>
        <v>Purchased</v>
      </c>
    </row>
    <row r="695" spans="1:17" x14ac:dyDescent="0.3">
      <c r="A695">
        <v>25970</v>
      </c>
      <c r="B695" t="s">
        <v>31</v>
      </c>
      <c r="C695" t="str">
        <f t="shared" si="20"/>
        <v>Single</v>
      </c>
      <c r="D695" t="s">
        <v>29</v>
      </c>
      <c r="E695" t="str">
        <f t="shared" si="21"/>
        <v>Female</v>
      </c>
      <c r="F695" s="2">
        <v>60000</v>
      </c>
      <c r="G695">
        <v>4</v>
      </c>
      <c r="H695" t="s">
        <v>11</v>
      </c>
      <c r="I695" t="s">
        <v>12</v>
      </c>
      <c r="J695" t="s">
        <v>15</v>
      </c>
      <c r="K695">
        <v>2</v>
      </c>
      <c r="L695" t="s">
        <v>35</v>
      </c>
      <c r="M695" t="s">
        <v>28</v>
      </c>
      <c r="N695" s="2">
        <v>41</v>
      </c>
      <c r="O695" t="str" cm="1">
        <f t="array" ref="O695">_xlfn.IFS(
  AND(BikePurchase[[#This Row],[Age]]&gt;=18, BikePurchase[[#This Row],[Age]]&lt;=30), "Adolescent",
  AND(BikePurchase[[#This Row],[Age]]&gt;30, BikePurchase[[#This Row],[Age]]&lt;55), "Middle Aged",
  AND(BikePurchase[[#This Row],[Age]]&gt;=55, BikePurchase[[#This Row],[Age]]&lt;90), "Old",
  TRUE, "Invalid"
)</f>
        <v>Middle Aged</v>
      </c>
      <c r="P695" t="s">
        <v>13</v>
      </c>
      <c r="Q695" t="str">
        <f>IF(BikePurchase[[#This Row],[Purchased BikeX]]="No","Not Purchased","Purchased")</f>
        <v>Purchased</v>
      </c>
    </row>
    <row r="696" spans="1:17" x14ac:dyDescent="0.3">
      <c r="A696">
        <v>28068</v>
      </c>
      <c r="B696" t="s">
        <v>31</v>
      </c>
      <c r="C696" t="str">
        <f t="shared" si="20"/>
        <v>Single</v>
      </c>
      <c r="D696" t="s">
        <v>29</v>
      </c>
      <c r="E696" t="str">
        <f t="shared" si="21"/>
        <v>Female</v>
      </c>
      <c r="F696" s="2">
        <v>80000</v>
      </c>
      <c r="G696">
        <v>3</v>
      </c>
      <c r="H696" t="s">
        <v>27</v>
      </c>
      <c r="I696" t="s">
        <v>18</v>
      </c>
      <c r="J696" t="s">
        <v>15</v>
      </c>
      <c r="K696">
        <v>0</v>
      </c>
      <c r="L696" t="s">
        <v>35</v>
      </c>
      <c r="M696" t="s">
        <v>28</v>
      </c>
      <c r="N696" s="2">
        <v>36</v>
      </c>
      <c r="O696" t="str" cm="1">
        <f t="array" ref="O696">_xlfn.IFS(
  AND(BikePurchase[[#This Row],[Age]]&gt;=18, BikePurchase[[#This Row],[Age]]&lt;=30), "Adolescent",
  AND(BikePurchase[[#This Row],[Age]]&gt;30, BikePurchase[[#This Row],[Age]]&lt;55), "Middle Aged",
  AND(BikePurchase[[#This Row],[Age]]&gt;=55, BikePurchase[[#This Row],[Age]]&lt;90), "Old",
  TRUE, "Invalid"
)</f>
        <v>Middle Aged</v>
      </c>
      <c r="P696" t="s">
        <v>13</v>
      </c>
      <c r="Q696" t="str">
        <f>IF(BikePurchase[[#This Row],[Purchased BikeX]]="No","Not Purchased","Purchased")</f>
        <v>Purchased</v>
      </c>
    </row>
    <row r="697" spans="1:17" x14ac:dyDescent="0.3">
      <c r="A697">
        <v>18390</v>
      </c>
      <c r="B697" t="s">
        <v>30</v>
      </c>
      <c r="C697" t="str">
        <f t="shared" si="20"/>
        <v>Married</v>
      </c>
      <c r="D697" t="s">
        <v>30</v>
      </c>
      <c r="E697" t="str">
        <f t="shared" si="21"/>
        <v>Male</v>
      </c>
      <c r="F697" s="2">
        <v>80000</v>
      </c>
      <c r="G697">
        <v>5</v>
      </c>
      <c r="H697" t="s">
        <v>16</v>
      </c>
      <c r="I697" t="s">
        <v>18</v>
      </c>
      <c r="J697" t="s">
        <v>13</v>
      </c>
      <c r="K697">
        <v>2</v>
      </c>
      <c r="L697" t="s">
        <v>35</v>
      </c>
      <c r="M697" t="s">
        <v>28</v>
      </c>
      <c r="N697" s="2">
        <v>44</v>
      </c>
      <c r="O697" t="str" cm="1">
        <f t="array" ref="O697">_xlfn.IFS(
  AND(BikePurchase[[#This Row],[Age]]&gt;=18, BikePurchase[[#This Row],[Age]]&lt;=30), "Adolescent",
  AND(BikePurchase[[#This Row],[Age]]&gt;30, BikePurchase[[#This Row],[Age]]&lt;55), "Middle Aged",
  AND(BikePurchase[[#This Row],[Age]]&gt;=55, BikePurchase[[#This Row],[Age]]&lt;90), "Old",
  TRUE, "Invalid"
)</f>
        <v>Middle Aged</v>
      </c>
      <c r="P697" t="s">
        <v>15</v>
      </c>
      <c r="Q697" t="str">
        <f>IF(BikePurchase[[#This Row],[Purchased BikeX]]="No","Not Purchased","Purchased")</f>
        <v>Not Purchased</v>
      </c>
    </row>
    <row r="698" spans="1:17" x14ac:dyDescent="0.3">
      <c r="A698">
        <v>29112</v>
      </c>
      <c r="B698" t="s">
        <v>31</v>
      </c>
      <c r="C698" t="str">
        <f t="shared" si="20"/>
        <v>Single</v>
      </c>
      <c r="D698" t="s">
        <v>30</v>
      </c>
      <c r="E698" t="str">
        <f t="shared" si="21"/>
        <v>Male</v>
      </c>
      <c r="F698" s="2">
        <v>60000</v>
      </c>
      <c r="G698">
        <v>0</v>
      </c>
      <c r="H698" t="s">
        <v>16</v>
      </c>
      <c r="I698" t="s">
        <v>18</v>
      </c>
      <c r="J698" t="s">
        <v>15</v>
      </c>
      <c r="K698">
        <v>2</v>
      </c>
      <c r="L698" t="s">
        <v>23</v>
      </c>
      <c r="M698" t="s">
        <v>28</v>
      </c>
      <c r="N698" s="2">
        <v>30</v>
      </c>
      <c r="O698" t="str" cm="1">
        <f t="array" ref="O698">_xlfn.IFS(
  AND(BikePurchase[[#This Row],[Age]]&gt;=18, BikePurchase[[#This Row],[Age]]&lt;=30), "Adolescent",
  AND(BikePurchase[[#This Row],[Age]]&gt;30, BikePurchase[[#This Row],[Age]]&lt;55), "Middle Aged",
  AND(BikePurchase[[#This Row],[Age]]&gt;=55, BikePurchase[[#This Row],[Age]]&lt;90), "Old",
  TRUE, "Invalid"
)</f>
        <v>Adolescent</v>
      </c>
      <c r="P698" t="s">
        <v>15</v>
      </c>
      <c r="Q698" t="str">
        <f>IF(BikePurchase[[#This Row],[Purchased BikeX]]="No","Not Purchased","Purchased")</f>
        <v>Not Purchased</v>
      </c>
    </row>
    <row r="699" spans="1:17" x14ac:dyDescent="0.3">
      <c r="A699">
        <v>14090</v>
      </c>
      <c r="B699" t="s">
        <v>30</v>
      </c>
      <c r="C699" t="str">
        <f t="shared" si="20"/>
        <v>Married</v>
      </c>
      <c r="D699" t="s">
        <v>29</v>
      </c>
      <c r="E699" t="str">
        <f t="shared" si="21"/>
        <v>Female</v>
      </c>
      <c r="F699" s="2">
        <v>30000</v>
      </c>
      <c r="G699">
        <v>0</v>
      </c>
      <c r="H699" t="s">
        <v>26</v>
      </c>
      <c r="I699" t="s">
        <v>17</v>
      </c>
      <c r="J699" t="s">
        <v>15</v>
      </c>
      <c r="K699">
        <v>2</v>
      </c>
      <c r="L699" t="s">
        <v>35</v>
      </c>
      <c r="M699" t="s">
        <v>28</v>
      </c>
      <c r="N699" s="2">
        <v>28</v>
      </c>
      <c r="O699" t="str" cm="1">
        <f t="array" ref="O699">_xlfn.IFS(
  AND(BikePurchase[[#This Row],[Age]]&gt;=18, BikePurchase[[#This Row],[Age]]&lt;=30), "Adolescent",
  AND(BikePurchase[[#This Row],[Age]]&gt;30, BikePurchase[[#This Row],[Age]]&lt;55), "Middle Aged",
  AND(BikePurchase[[#This Row],[Age]]&gt;=55, BikePurchase[[#This Row],[Age]]&lt;90), "Old",
  TRUE, "Invalid"
)</f>
        <v>Adolescent</v>
      </c>
      <c r="P699" t="s">
        <v>15</v>
      </c>
      <c r="Q699" t="str">
        <f>IF(BikePurchase[[#This Row],[Purchased BikeX]]="No","Not Purchased","Purchased")</f>
        <v>Not Purchased</v>
      </c>
    </row>
    <row r="700" spans="1:17" x14ac:dyDescent="0.3">
      <c r="A700">
        <v>27040</v>
      </c>
      <c r="B700" t="s">
        <v>30</v>
      </c>
      <c r="C700" t="str">
        <f t="shared" si="20"/>
        <v>Married</v>
      </c>
      <c r="D700" t="s">
        <v>30</v>
      </c>
      <c r="E700" t="str">
        <f t="shared" si="21"/>
        <v>Male</v>
      </c>
      <c r="F700" s="2">
        <v>20000</v>
      </c>
      <c r="G700">
        <v>2</v>
      </c>
      <c r="H700" t="s">
        <v>26</v>
      </c>
      <c r="I700" t="s">
        <v>17</v>
      </c>
      <c r="J700" t="s">
        <v>13</v>
      </c>
      <c r="K700">
        <v>2</v>
      </c>
      <c r="L700" t="s">
        <v>23</v>
      </c>
      <c r="M700" t="s">
        <v>28</v>
      </c>
      <c r="N700" s="2">
        <v>49</v>
      </c>
      <c r="O700" t="str" cm="1">
        <f t="array" ref="O700">_xlfn.IFS(
  AND(BikePurchase[[#This Row],[Age]]&gt;=18, BikePurchase[[#This Row],[Age]]&lt;=30), "Adolescent",
  AND(BikePurchase[[#This Row],[Age]]&gt;30, BikePurchase[[#This Row],[Age]]&lt;55), "Middle Aged",
  AND(BikePurchase[[#This Row],[Age]]&gt;=55, BikePurchase[[#This Row],[Age]]&lt;90), "Old",
  TRUE, "Invalid"
)</f>
        <v>Middle Aged</v>
      </c>
      <c r="P700" t="s">
        <v>15</v>
      </c>
      <c r="Q700" t="str">
        <f>IF(BikePurchase[[#This Row],[Purchased BikeX]]="No","Not Purchased","Purchased")</f>
        <v>Not Purchased</v>
      </c>
    </row>
    <row r="701" spans="1:17" x14ac:dyDescent="0.3">
      <c r="A701">
        <v>23479</v>
      </c>
      <c r="B701" t="s">
        <v>31</v>
      </c>
      <c r="C701" t="str">
        <f t="shared" si="20"/>
        <v>Single</v>
      </c>
      <c r="D701" t="s">
        <v>30</v>
      </c>
      <c r="E701" t="str">
        <f t="shared" si="21"/>
        <v>Male</v>
      </c>
      <c r="F701" s="2">
        <v>90000</v>
      </c>
      <c r="G701">
        <v>0</v>
      </c>
      <c r="H701" t="s">
        <v>16</v>
      </c>
      <c r="I701" t="s">
        <v>18</v>
      </c>
      <c r="J701" t="s">
        <v>15</v>
      </c>
      <c r="K701">
        <v>2</v>
      </c>
      <c r="L701" t="s">
        <v>35</v>
      </c>
      <c r="M701" t="s">
        <v>28</v>
      </c>
      <c r="N701" s="2">
        <v>43</v>
      </c>
      <c r="O701" t="str" cm="1">
        <f t="array" ref="O701">_xlfn.IFS(
  AND(BikePurchase[[#This Row],[Age]]&gt;=18, BikePurchase[[#This Row],[Age]]&lt;=30), "Adolescent",
  AND(BikePurchase[[#This Row],[Age]]&gt;30, BikePurchase[[#This Row],[Age]]&lt;55), "Middle Aged",
  AND(BikePurchase[[#This Row],[Age]]&gt;=55, BikePurchase[[#This Row],[Age]]&lt;90), "Old",
  TRUE, "Invalid"
)</f>
        <v>Middle Aged</v>
      </c>
      <c r="P701" t="s">
        <v>13</v>
      </c>
      <c r="Q701" t="str">
        <f>IF(BikePurchase[[#This Row],[Purchased BikeX]]="No","Not Purchased","Purchased")</f>
        <v>Purchased</v>
      </c>
    </row>
    <row r="702" spans="1:17" x14ac:dyDescent="0.3">
      <c r="A702">
        <v>16795</v>
      </c>
      <c r="B702" t="s">
        <v>30</v>
      </c>
      <c r="C702" t="str">
        <f t="shared" si="20"/>
        <v>Married</v>
      </c>
      <c r="D702" t="s">
        <v>29</v>
      </c>
      <c r="E702" t="str">
        <f t="shared" si="21"/>
        <v>Female</v>
      </c>
      <c r="F702" s="2">
        <v>70000</v>
      </c>
      <c r="G702">
        <v>4</v>
      </c>
      <c r="H702" t="s">
        <v>11</v>
      </c>
      <c r="I702" t="s">
        <v>25</v>
      </c>
      <c r="J702" t="s">
        <v>13</v>
      </c>
      <c r="K702">
        <v>1</v>
      </c>
      <c r="L702" t="s">
        <v>23</v>
      </c>
      <c r="M702" t="s">
        <v>28</v>
      </c>
      <c r="N702" s="2">
        <v>59</v>
      </c>
      <c r="O702" t="str" cm="1">
        <f t="array" ref="O702">_xlfn.IFS(
  AND(BikePurchase[[#This Row],[Age]]&gt;=18, BikePurchase[[#This Row],[Age]]&lt;=30), "Adolescent",
  AND(BikePurchase[[#This Row],[Age]]&gt;30, BikePurchase[[#This Row],[Age]]&lt;55), "Middle Aged",
  AND(BikePurchase[[#This Row],[Age]]&gt;=55, BikePurchase[[#This Row],[Age]]&lt;90), "Old",
  TRUE, "Invalid"
)</f>
        <v>Old</v>
      </c>
      <c r="P702" t="s">
        <v>15</v>
      </c>
      <c r="Q702" t="str">
        <f>IF(BikePurchase[[#This Row],[Purchased BikeX]]="No","Not Purchased","Purchased")</f>
        <v>Not Purchased</v>
      </c>
    </row>
    <row r="703" spans="1:17" x14ac:dyDescent="0.3">
      <c r="A703">
        <v>22014</v>
      </c>
      <c r="B703" t="s">
        <v>31</v>
      </c>
      <c r="C703" t="str">
        <f t="shared" si="20"/>
        <v>Single</v>
      </c>
      <c r="D703" t="s">
        <v>30</v>
      </c>
      <c r="E703" t="str">
        <f t="shared" si="21"/>
        <v>Male</v>
      </c>
      <c r="F703" s="2">
        <v>30000</v>
      </c>
      <c r="G703">
        <v>0</v>
      </c>
      <c r="H703" t="s">
        <v>24</v>
      </c>
      <c r="I703" t="s">
        <v>12</v>
      </c>
      <c r="J703" t="s">
        <v>13</v>
      </c>
      <c r="K703">
        <v>2</v>
      </c>
      <c r="L703" t="s">
        <v>20</v>
      </c>
      <c r="M703" t="s">
        <v>28</v>
      </c>
      <c r="N703" s="2">
        <v>26</v>
      </c>
      <c r="O703" t="str" cm="1">
        <f t="array" ref="O703">_xlfn.IFS(
  AND(BikePurchase[[#This Row],[Age]]&gt;=18, BikePurchase[[#This Row],[Age]]&lt;=30), "Adolescent",
  AND(BikePurchase[[#This Row],[Age]]&gt;30, BikePurchase[[#This Row],[Age]]&lt;55), "Middle Aged",
  AND(BikePurchase[[#This Row],[Age]]&gt;=55, BikePurchase[[#This Row],[Age]]&lt;90), "Old",
  TRUE, "Invalid"
)</f>
        <v>Adolescent</v>
      </c>
      <c r="P703" t="s">
        <v>15</v>
      </c>
      <c r="Q703" t="str">
        <f>IF(BikePurchase[[#This Row],[Purchased BikeX]]="No","Not Purchased","Purchased")</f>
        <v>Not Purchased</v>
      </c>
    </row>
    <row r="704" spans="1:17" x14ac:dyDescent="0.3">
      <c r="A704">
        <v>13314</v>
      </c>
      <c r="B704" t="s">
        <v>30</v>
      </c>
      <c r="C704" t="str">
        <f t="shared" si="20"/>
        <v>Married</v>
      </c>
      <c r="D704" t="s">
        <v>30</v>
      </c>
      <c r="E704" t="str">
        <f t="shared" si="21"/>
        <v>Male</v>
      </c>
      <c r="F704" s="2">
        <v>120000</v>
      </c>
      <c r="G704">
        <v>1</v>
      </c>
      <c r="H704" t="s">
        <v>24</v>
      </c>
      <c r="I704" t="s">
        <v>18</v>
      </c>
      <c r="J704" t="s">
        <v>13</v>
      </c>
      <c r="K704">
        <v>4</v>
      </c>
      <c r="L704" t="s">
        <v>20</v>
      </c>
      <c r="M704" t="s">
        <v>28</v>
      </c>
      <c r="N704" s="2">
        <v>46</v>
      </c>
      <c r="O704" t="str" cm="1">
        <f t="array" ref="O704">_xlfn.IFS(
  AND(BikePurchase[[#This Row],[Age]]&gt;=18, BikePurchase[[#This Row],[Age]]&lt;=30), "Adolescent",
  AND(BikePurchase[[#This Row],[Age]]&gt;30, BikePurchase[[#This Row],[Age]]&lt;55), "Middle Aged",
  AND(BikePurchase[[#This Row],[Age]]&gt;=55, BikePurchase[[#This Row],[Age]]&lt;90), "Old",
  TRUE, "Invalid"
)</f>
        <v>Middle Aged</v>
      </c>
      <c r="P704" t="s">
        <v>13</v>
      </c>
      <c r="Q704" t="str">
        <f>IF(BikePurchase[[#This Row],[Purchased BikeX]]="No","Not Purchased","Purchased")</f>
        <v>Purchased</v>
      </c>
    </row>
    <row r="705" spans="1:17" x14ac:dyDescent="0.3">
      <c r="A705">
        <v>11619</v>
      </c>
      <c r="B705" t="s">
        <v>31</v>
      </c>
      <c r="C705" t="str">
        <f t="shared" si="20"/>
        <v>Single</v>
      </c>
      <c r="D705" t="s">
        <v>29</v>
      </c>
      <c r="E705" t="str">
        <f t="shared" si="21"/>
        <v>Female</v>
      </c>
      <c r="F705" s="2">
        <v>50000</v>
      </c>
      <c r="G705">
        <v>0</v>
      </c>
      <c r="H705" t="s">
        <v>27</v>
      </c>
      <c r="I705" t="s">
        <v>12</v>
      </c>
      <c r="J705" t="s">
        <v>13</v>
      </c>
      <c r="K705">
        <v>0</v>
      </c>
      <c r="L705" t="s">
        <v>23</v>
      </c>
      <c r="M705" t="s">
        <v>28</v>
      </c>
      <c r="N705" s="2">
        <v>33</v>
      </c>
      <c r="O705" t="str" cm="1">
        <f t="array" ref="O705">_xlfn.IFS(
  AND(BikePurchase[[#This Row],[Age]]&gt;=18, BikePurchase[[#This Row],[Age]]&lt;=30), "Adolescent",
  AND(BikePurchase[[#This Row],[Age]]&gt;30, BikePurchase[[#This Row],[Age]]&lt;55), "Middle Aged",
  AND(BikePurchase[[#This Row],[Age]]&gt;=55, BikePurchase[[#This Row],[Age]]&lt;90), "Old",
  TRUE, "Invalid"
)</f>
        <v>Middle Aged</v>
      </c>
      <c r="P705" t="s">
        <v>15</v>
      </c>
      <c r="Q705" t="str">
        <f>IF(BikePurchase[[#This Row],[Purchased BikeX]]="No","Not Purchased","Purchased")</f>
        <v>Not Purchased</v>
      </c>
    </row>
    <row r="706" spans="1:17" x14ac:dyDescent="0.3">
      <c r="A706">
        <v>29132</v>
      </c>
      <c r="B706" t="s">
        <v>31</v>
      </c>
      <c r="C706" t="str">
        <f t="shared" ref="C706:C769" si="22">IF(B706="M","Married","Single")</f>
        <v>Single</v>
      </c>
      <c r="D706" t="s">
        <v>29</v>
      </c>
      <c r="E706" t="str">
        <f t="shared" ref="E706:E769" si="23">IF(D706="F","Female","Male")</f>
        <v>Female</v>
      </c>
      <c r="F706" s="2">
        <v>40000</v>
      </c>
      <c r="G706">
        <v>0</v>
      </c>
      <c r="H706" t="s">
        <v>11</v>
      </c>
      <c r="I706" t="s">
        <v>18</v>
      </c>
      <c r="J706" t="s">
        <v>13</v>
      </c>
      <c r="K706">
        <v>1</v>
      </c>
      <c r="L706" t="s">
        <v>19</v>
      </c>
      <c r="M706" t="s">
        <v>28</v>
      </c>
      <c r="N706" s="2">
        <v>42</v>
      </c>
      <c r="O706" t="str" cm="1">
        <f t="array" ref="O706">_xlfn.IFS(
  AND(BikePurchase[[#This Row],[Age]]&gt;=18, BikePurchase[[#This Row],[Age]]&lt;=30), "Adolescent",
  AND(BikePurchase[[#This Row],[Age]]&gt;30, BikePurchase[[#This Row],[Age]]&lt;55), "Middle Aged",
  AND(BikePurchase[[#This Row],[Age]]&gt;=55, BikePurchase[[#This Row],[Age]]&lt;90), "Old",
  TRUE, "Invalid"
)</f>
        <v>Middle Aged</v>
      </c>
      <c r="P706" t="s">
        <v>13</v>
      </c>
      <c r="Q706" t="str">
        <f>IF(BikePurchase[[#This Row],[Purchased BikeX]]="No","Not Purchased","Purchased")</f>
        <v>Purchased</v>
      </c>
    </row>
    <row r="707" spans="1:17" x14ac:dyDescent="0.3">
      <c r="A707">
        <v>11199</v>
      </c>
      <c r="B707" t="s">
        <v>30</v>
      </c>
      <c r="C707" t="str">
        <f t="shared" si="22"/>
        <v>Married</v>
      </c>
      <c r="D707" t="s">
        <v>29</v>
      </c>
      <c r="E707" t="str">
        <f t="shared" si="23"/>
        <v>Female</v>
      </c>
      <c r="F707" s="2">
        <v>70000</v>
      </c>
      <c r="G707">
        <v>4</v>
      </c>
      <c r="H707" t="s">
        <v>11</v>
      </c>
      <c r="I707" t="s">
        <v>25</v>
      </c>
      <c r="J707" t="s">
        <v>13</v>
      </c>
      <c r="K707">
        <v>1</v>
      </c>
      <c r="L707" t="s">
        <v>48</v>
      </c>
      <c r="M707" t="s">
        <v>28</v>
      </c>
      <c r="N707" s="2">
        <v>59</v>
      </c>
      <c r="O707" t="str" cm="1">
        <f t="array" ref="O707">_xlfn.IFS(
  AND(BikePurchase[[#This Row],[Age]]&gt;=18, BikePurchase[[#This Row],[Age]]&lt;=30), "Adolescent",
  AND(BikePurchase[[#This Row],[Age]]&gt;30, BikePurchase[[#This Row],[Age]]&lt;55), "Middle Aged",
  AND(BikePurchase[[#This Row],[Age]]&gt;=55, BikePurchase[[#This Row],[Age]]&lt;90), "Old",
  TRUE, "Invalid"
)</f>
        <v>Old</v>
      </c>
      <c r="P707" t="s">
        <v>15</v>
      </c>
      <c r="Q707" t="str">
        <f>IF(BikePurchase[[#This Row],[Purchased BikeX]]="No","Not Purchased","Purchased")</f>
        <v>Not Purchased</v>
      </c>
    </row>
    <row r="708" spans="1:17" x14ac:dyDescent="0.3">
      <c r="A708">
        <v>20296</v>
      </c>
      <c r="B708" t="s">
        <v>31</v>
      </c>
      <c r="C708" t="str">
        <f t="shared" si="22"/>
        <v>Single</v>
      </c>
      <c r="D708" t="s">
        <v>29</v>
      </c>
      <c r="E708" t="str">
        <f t="shared" si="23"/>
        <v>Female</v>
      </c>
      <c r="F708" s="2">
        <v>60000</v>
      </c>
      <c r="G708">
        <v>0</v>
      </c>
      <c r="H708" t="s">
        <v>16</v>
      </c>
      <c r="I708" t="s">
        <v>12</v>
      </c>
      <c r="J708" t="s">
        <v>15</v>
      </c>
      <c r="K708">
        <v>1</v>
      </c>
      <c r="L708" t="s">
        <v>23</v>
      </c>
      <c r="M708" t="s">
        <v>28</v>
      </c>
      <c r="N708" s="2">
        <v>33</v>
      </c>
      <c r="O708" t="str" cm="1">
        <f t="array" ref="O708">_xlfn.IFS(
  AND(BikePurchase[[#This Row],[Age]]&gt;=18, BikePurchase[[#This Row],[Age]]&lt;=30), "Adolescent",
  AND(BikePurchase[[#This Row],[Age]]&gt;30, BikePurchase[[#This Row],[Age]]&lt;55), "Middle Aged",
  AND(BikePurchase[[#This Row],[Age]]&gt;=55, BikePurchase[[#This Row],[Age]]&lt;90), "Old",
  TRUE, "Invalid"
)</f>
        <v>Middle Aged</v>
      </c>
      <c r="P708" t="s">
        <v>13</v>
      </c>
      <c r="Q708" t="str">
        <f>IF(BikePurchase[[#This Row],[Purchased BikeX]]="No","Not Purchased","Purchased")</f>
        <v>Purchased</v>
      </c>
    </row>
    <row r="709" spans="1:17" x14ac:dyDescent="0.3">
      <c r="A709">
        <v>17546</v>
      </c>
      <c r="B709" t="s">
        <v>30</v>
      </c>
      <c r="C709" t="str">
        <f t="shared" si="22"/>
        <v>Married</v>
      </c>
      <c r="D709" t="s">
        <v>29</v>
      </c>
      <c r="E709" t="str">
        <f t="shared" si="23"/>
        <v>Female</v>
      </c>
      <c r="F709" s="2">
        <v>70000</v>
      </c>
      <c r="G709">
        <v>1</v>
      </c>
      <c r="H709" t="s">
        <v>16</v>
      </c>
      <c r="I709" t="s">
        <v>12</v>
      </c>
      <c r="J709" t="s">
        <v>13</v>
      </c>
      <c r="K709">
        <v>1</v>
      </c>
      <c r="L709" t="s">
        <v>35</v>
      </c>
      <c r="M709" t="s">
        <v>28</v>
      </c>
      <c r="N709" s="2">
        <v>44</v>
      </c>
      <c r="O709" t="str" cm="1">
        <f t="array" ref="O709">_xlfn.IFS(
  AND(BikePurchase[[#This Row],[Age]]&gt;=18, BikePurchase[[#This Row],[Age]]&lt;=30), "Adolescent",
  AND(BikePurchase[[#This Row],[Age]]&gt;30, BikePurchase[[#This Row],[Age]]&lt;55), "Middle Aged",
  AND(BikePurchase[[#This Row],[Age]]&gt;=55, BikePurchase[[#This Row],[Age]]&lt;90), "Old",
  TRUE, "Invalid"
)</f>
        <v>Middle Aged</v>
      </c>
      <c r="P709" t="s">
        <v>13</v>
      </c>
      <c r="Q709" t="str">
        <f>IF(BikePurchase[[#This Row],[Purchased BikeX]]="No","Not Purchased","Purchased")</f>
        <v>Purchased</v>
      </c>
    </row>
    <row r="710" spans="1:17" x14ac:dyDescent="0.3">
      <c r="A710">
        <v>18069</v>
      </c>
      <c r="B710" t="s">
        <v>30</v>
      </c>
      <c r="C710" t="str">
        <f t="shared" si="22"/>
        <v>Married</v>
      </c>
      <c r="D710" t="s">
        <v>30</v>
      </c>
      <c r="E710" t="str">
        <f t="shared" si="23"/>
        <v>Male</v>
      </c>
      <c r="F710" s="2">
        <v>70000</v>
      </c>
      <c r="G710">
        <v>5</v>
      </c>
      <c r="H710" t="s">
        <v>11</v>
      </c>
      <c r="I710" t="s">
        <v>25</v>
      </c>
      <c r="J710" t="s">
        <v>13</v>
      </c>
      <c r="K710">
        <v>4</v>
      </c>
      <c r="L710" t="s">
        <v>48</v>
      </c>
      <c r="M710" t="s">
        <v>28</v>
      </c>
      <c r="N710" s="2">
        <v>60</v>
      </c>
      <c r="O710" t="str" cm="1">
        <f t="array" ref="O710">_xlfn.IFS(
  AND(BikePurchase[[#This Row],[Age]]&gt;=18, BikePurchase[[#This Row],[Age]]&lt;=30), "Adolescent",
  AND(BikePurchase[[#This Row],[Age]]&gt;30, BikePurchase[[#This Row],[Age]]&lt;55), "Middle Aged",
  AND(BikePurchase[[#This Row],[Age]]&gt;=55, BikePurchase[[#This Row],[Age]]&lt;90), "Old",
  TRUE, "Invalid"
)</f>
        <v>Old</v>
      </c>
      <c r="P710" t="s">
        <v>15</v>
      </c>
      <c r="Q710" t="str">
        <f>IF(BikePurchase[[#This Row],[Purchased BikeX]]="No","Not Purchased","Purchased")</f>
        <v>Not Purchased</v>
      </c>
    </row>
    <row r="711" spans="1:17" x14ac:dyDescent="0.3">
      <c r="A711">
        <v>23712</v>
      </c>
      <c r="B711" t="s">
        <v>31</v>
      </c>
      <c r="C711" t="str">
        <f t="shared" si="22"/>
        <v>Single</v>
      </c>
      <c r="D711" t="s">
        <v>29</v>
      </c>
      <c r="E711" t="str">
        <f t="shared" si="23"/>
        <v>Female</v>
      </c>
      <c r="F711" s="2">
        <v>70000</v>
      </c>
      <c r="G711">
        <v>2</v>
      </c>
      <c r="H711" t="s">
        <v>11</v>
      </c>
      <c r="I711" t="s">
        <v>25</v>
      </c>
      <c r="J711" t="s">
        <v>13</v>
      </c>
      <c r="K711">
        <v>1</v>
      </c>
      <c r="L711" t="s">
        <v>48</v>
      </c>
      <c r="M711" t="s">
        <v>28</v>
      </c>
      <c r="N711" s="2">
        <v>59</v>
      </c>
      <c r="O711" t="str" cm="1">
        <f t="array" ref="O711">_xlfn.IFS(
  AND(BikePurchase[[#This Row],[Age]]&gt;=18, BikePurchase[[#This Row],[Age]]&lt;=30), "Adolescent",
  AND(BikePurchase[[#This Row],[Age]]&gt;30, BikePurchase[[#This Row],[Age]]&lt;55), "Middle Aged",
  AND(BikePurchase[[#This Row],[Age]]&gt;=55, BikePurchase[[#This Row],[Age]]&lt;90), "Old",
  TRUE, "Invalid"
)</f>
        <v>Old</v>
      </c>
      <c r="P711" t="s">
        <v>15</v>
      </c>
      <c r="Q711" t="str">
        <f>IF(BikePurchase[[#This Row],[Purchased BikeX]]="No","Not Purchased","Purchased")</f>
        <v>Not Purchased</v>
      </c>
    </row>
    <row r="712" spans="1:17" x14ac:dyDescent="0.3">
      <c r="A712">
        <v>23358</v>
      </c>
      <c r="B712" t="s">
        <v>30</v>
      </c>
      <c r="C712" t="str">
        <f t="shared" si="22"/>
        <v>Married</v>
      </c>
      <c r="D712" t="s">
        <v>30</v>
      </c>
      <c r="E712" t="str">
        <f t="shared" si="23"/>
        <v>Male</v>
      </c>
      <c r="F712" s="2">
        <v>60000</v>
      </c>
      <c r="G712">
        <v>0</v>
      </c>
      <c r="H712" t="s">
        <v>24</v>
      </c>
      <c r="I712" t="s">
        <v>18</v>
      </c>
      <c r="J712" t="s">
        <v>13</v>
      </c>
      <c r="K712">
        <v>2</v>
      </c>
      <c r="L712" t="s">
        <v>20</v>
      </c>
      <c r="M712" t="s">
        <v>28</v>
      </c>
      <c r="N712" s="2">
        <v>32</v>
      </c>
      <c r="O712" t="str" cm="1">
        <f t="array" ref="O712">_xlfn.IFS(
  AND(BikePurchase[[#This Row],[Age]]&gt;=18, BikePurchase[[#This Row],[Age]]&lt;=30), "Adolescent",
  AND(BikePurchase[[#This Row],[Age]]&gt;30, BikePurchase[[#This Row],[Age]]&lt;55), "Middle Aged",
  AND(BikePurchase[[#This Row],[Age]]&gt;=55, BikePurchase[[#This Row],[Age]]&lt;90), "Old",
  TRUE, "Invalid"
)</f>
        <v>Middle Aged</v>
      </c>
      <c r="P712" t="s">
        <v>13</v>
      </c>
      <c r="Q712" t="str">
        <f>IF(BikePurchase[[#This Row],[Purchased BikeX]]="No","Not Purchased","Purchased")</f>
        <v>Purchased</v>
      </c>
    </row>
    <row r="713" spans="1:17" x14ac:dyDescent="0.3">
      <c r="A713">
        <v>20518</v>
      </c>
      <c r="B713" t="s">
        <v>30</v>
      </c>
      <c r="C713" t="str">
        <f t="shared" si="22"/>
        <v>Married</v>
      </c>
      <c r="D713" t="s">
        <v>29</v>
      </c>
      <c r="E713" t="str">
        <f t="shared" si="23"/>
        <v>Female</v>
      </c>
      <c r="F713" s="2">
        <v>70000</v>
      </c>
      <c r="G713">
        <v>2</v>
      </c>
      <c r="H713" t="s">
        <v>16</v>
      </c>
      <c r="I713" t="s">
        <v>18</v>
      </c>
      <c r="J713" t="s">
        <v>13</v>
      </c>
      <c r="K713">
        <v>1</v>
      </c>
      <c r="L713" t="s">
        <v>48</v>
      </c>
      <c r="M713" t="s">
        <v>28</v>
      </c>
      <c r="N713" s="2">
        <v>58</v>
      </c>
      <c r="O713" t="str" cm="1">
        <f t="array" ref="O713">_xlfn.IFS(
  AND(BikePurchase[[#This Row],[Age]]&gt;=18, BikePurchase[[#This Row],[Age]]&lt;=30), "Adolescent",
  AND(BikePurchase[[#This Row],[Age]]&gt;30, BikePurchase[[#This Row],[Age]]&lt;55), "Middle Aged",
  AND(BikePurchase[[#This Row],[Age]]&gt;=55, BikePurchase[[#This Row],[Age]]&lt;90), "Old",
  TRUE, "Invalid"
)</f>
        <v>Old</v>
      </c>
      <c r="P713" t="s">
        <v>15</v>
      </c>
      <c r="Q713" t="str">
        <f>IF(BikePurchase[[#This Row],[Purchased BikeX]]="No","Not Purchased","Purchased")</f>
        <v>Not Purchased</v>
      </c>
    </row>
    <row r="714" spans="1:17" x14ac:dyDescent="0.3">
      <c r="A714">
        <v>28026</v>
      </c>
      <c r="B714" t="s">
        <v>30</v>
      </c>
      <c r="C714" t="str">
        <f t="shared" si="22"/>
        <v>Married</v>
      </c>
      <c r="D714" t="s">
        <v>29</v>
      </c>
      <c r="E714" t="str">
        <f t="shared" si="23"/>
        <v>Female</v>
      </c>
      <c r="F714" s="2">
        <v>40000</v>
      </c>
      <c r="G714">
        <v>2</v>
      </c>
      <c r="H714" t="s">
        <v>24</v>
      </c>
      <c r="I714" t="s">
        <v>18</v>
      </c>
      <c r="J714" t="s">
        <v>15</v>
      </c>
      <c r="K714">
        <v>2</v>
      </c>
      <c r="L714" t="s">
        <v>19</v>
      </c>
      <c r="M714" t="s">
        <v>28</v>
      </c>
      <c r="N714" s="2">
        <v>59</v>
      </c>
      <c r="O714" t="str" cm="1">
        <f t="array" ref="O714">_xlfn.IFS(
  AND(BikePurchase[[#This Row],[Age]]&gt;=18, BikePurchase[[#This Row],[Age]]&lt;=30), "Adolescent",
  AND(BikePurchase[[#This Row],[Age]]&gt;30, BikePurchase[[#This Row],[Age]]&lt;55), "Middle Aged",
  AND(BikePurchase[[#This Row],[Age]]&gt;=55, BikePurchase[[#This Row],[Age]]&lt;90), "Old",
  TRUE, "Invalid"
)</f>
        <v>Old</v>
      </c>
      <c r="P714" t="s">
        <v>15</v>
      </c>
      <c r="Q714" t="str">
        <f>IF(BikePurchase[[#This Row],[Purchased BikeX]]="No","Not Purchased","Purchased")</f>
        <v>Not Purchased</v>
      </c>
    </row>
    <row r="715" spans="1:17" x14ac:dyDescent="0.3">
      <c r="A715">
        <v>11669</v>
      </c>
      <c r="B715" t="s">
        <v>31</v>
      </c>
      <c r="C715" t="str">
        <f t="shared" si="22"/>
        <v>Single</v>
      </c>
      <c r="D715" t="s">
        <v>29</v>
      </c>
      <c r="E715" t="str">
        <f t="shared" si="23"/>
        <v>Female</v>
      </c>
      <c r="F715" s="2">
        <v>70000</v>
      </c>
      <c r="G715">
        <v>2</v>
      </c>
      <c r="H715" t="s">
        <v>11</v>
      </c>
      <c r="I715" t="s">
        <v>12</v>
      </c>
      <c r="J715" t="s">
        <v>13</v>
      </c>
      <c r="K715">
        <v>1</v>
      </c>
      <c r="L715" t="s">
        <v>19</v>
      </c>
      <c r="M715" t="s">
        <v>28</v>
      </c>
      <c r="N715" s="2">
        <v>38</v>
      </c>
      <c r="O715" t="str" cm="1">
        <f t="array" ref="O715">_xlfn.IFS(
  AND(BikePurchase[[#This Row],[Age]]&gt;=18, BikePurchase[[#This Row],[Age]]&lt;=30), "Adolescent",
  AND(BikePurchase[[#This Row],[Age]]&gt;30, BikePurchase[[#This Row],[Age]]&lt;55), "Middle Aged",
  AND(BikePurchase[[#This Row],[Age]]&gt;=55, BikePurchase[[#This Row],[Age]]&lt;90), "Old",
  TRUE, "Invalid"
)</f>
        <v>Middle Aged</v>
      </c>
      <c r="P715" t="s">
        <v>15</v>
      </c>
      <c r="Q715" t="str">
        <f>IF(BikePurchase[[#This Row],[Purchased BikeX]]="No","Not Purchased","Purchased")</f>
        <v>Not Purchased</v>
      </c>
    </row>
    <row r="716" spans="1:17" x14ac:dyDescent="0.3">
      <c r="A716">
        <v>16020</v>
      </c>
      <c r="B716" t="s">
        <v>30</v>
      </c>
      <c r="C716" t="str">
        <f t="shared" si="22"/>
        <v>Married</v>
      </c>
      <c r="D716" t="s">
        <v>30</v>
      </c>
      <c r="E716" t="str">
        <f t="shared" si="23"/>
        <v>Male</v>
      </c>
      <c r="F716" s="2">
        <v>40000</v>
      </c>
      <c r="G716">
        <v>0</v>
      </c>
      <c r="H716" t="s">
        <v>24</v>
      </c>
      <c r="I716" t="s">
        <v>12</v>
      </c>
      <c r="J716" t="s">
        <v>13</v>
      </c>
      <c r="K716">
        <v>2</v>
      </c>
      <c r="L716" t="s">
        <v>20</v>
      </c>
      <c r="M716" t="s">
        <v>28</v>
      </c>
      <c r="N716" s="2">
        <v>28</v>
      </c>
      <c r="O716" t="str" cm="1">
        <f t="array" ref="O716">_xlfn.IFS(
  AND(BikePurchase[[#This Row],[Age]]&gt;=18, BikePurchase[[#This Row],[Age]]&lt;=30), "Adolescent",
  AND(BikePurchase[[#This Row],[Age]]&gt;30, BikePurchase[[#This Row],[Age]]&lt;55), "Middle Aged",
  AND(BikePurchase[[#This Row],[Age]]&gt;=55, BikePurchase[[#This Row],[Age]]&lt;90), "Old",
  TRUE, "Invalid"
)</f>
        <v>Adolescent</v>
      </c>
      <c r="P716" t="s">
        <v>13</v>
      </c>
      <c r="Q716" t="str">
        <f>IF(BikePurchase[[#This Row],[Purchased BikeX]]="No","Not Purchased","Purchased")</f>
        <v>Purchased</v>
      </c>
    </row>
    <row r="717" spans="1:17" x14ac:dyDescent="0.3">
      <c r="A717">
        <v>27090</v>
      </c>
      <c r="B717" t="s">
        <v>30</v>
      </c>
      <c r="C717" t="str">
        <f t="shared" si="22"/>
        <v>Married</v>
      </c>
      <c r="D717" t="s">
        <v>29</v>
      </c>
      <c r="E717" t="str">
        <f t="shared" si="23"/>
        <v>Female</v>
      </c>
      <c r="F717" s="2">
        <v>60000</v>
      </c>
      <c r="G717">
        <v>1</v>
      </c>
      <c r="H717" t="s">
        <v>27</v>
      </c>
      <c r="I717" t="s">
        <v>18</v>
      </c>
      <c r="J717" t="s">
        <v>13</v>
      </c>
      <c r="K717">
        <v>0</v>
      </c>
      <c r="L717" t="s">
        <v>19</v>
      </c>
      <c r="M717" t="s">
        <v>28</v>
      </c>
      <c r="N717" s="2">
        <v>37</v>
      </c>
      <c r="O717" t="str" cm="1">
        <f t="array" ref="O717">_xlfn.IFS(
  AND(BikePurchase[[#This Row],[Age]]&gt;=18, BikePurchase[[#This Row],[Age]]&lt;=30), "Adolescent",
  AND(BikePurchase[[#This Row],[Age]]&gt;30, BikePurchase[[#This Row],[Age]]&lt;55), "Middle Aged",
  AND(BikePurchase[[#This Row],[Age]]&gt;=55, BikePurchase[[#This Row],[Age]]&lt;90), "Old",
  TRUE, "Invalid"
)</f>
        <v>Middle Aged</v>
      </c>
      <c r="P717" t="s">
        <v>13</v>
      </c>
      <c r="Q717" t="str">
        <f>IF(BikePurchase[[#This Row],[Purchased BikeX]]="No","Not Purchased","Purchased")</f>
        <v>Purchased</v>
      </c>
    </row>
    <row r="718" spans="1:17" x14ac:dyDescent="0.3">
      <c r="A718">
        <v>27198</v>
      </c>
      <c r="B718" t="s">
        <v>31</v>
      </c>
      <c r="C718" t="str">
        <f t="shared" si="22"/>
        <v>Single</v>
      </c>
      <c r="D718" t="s">
        <v>29</v>
      </c>
      <c r="E718" t="str">
        <f t="shared" si="23"/>
        <v>Female</v>
      </c>
      <c r="F718" s="2">
        <v>80000</v>
      </c>
      <c r="G718">
        <v>0</v>
      </c>
      <c r="H718" t="s">
        <v>27</v>
      </c>
      <c r="I718" t="s">
        <v>12</v>
      </c>
      <c r="J718" t="s">
        <v>15</v>
      </c>
      <c r="K718">
        <v>0</v>
      </c>
      <c r="L718" t="s">
        <v>35</v>
      </c>
      <c r="M718" t="s">
        <v>28</v>
      </c>
      <c r="N718" s="2">
        <v>40</v>
      </c>
      <c r="O718" t="str" cm="1">
        <f t="array" ref="O718">_xlfn.IFS(
  AND(BikePurchase[[#This Row],[Age]]&gt;=18, BikePurchase[[#This Row],[Age]]&lt;=30), "Adolescent",
  AND(BikePurchase[[#This Row],[Age]]&gt;30, BikePurchase[[#This Row],[Age]]&lt;55), "Middle Aged",
  AND(BikePurchase[[#This Row],[Age]]&gt;=55, BikePurchase[[#This Row],[Age]]&lt;90), "Old",
  TRUE, "Invalid"
)</f>
        <v>Middle Aged</v>
      </c>
      <c r="P718" t="s">
        <v>15</v>
      </c>
      <c r="Q718" t="str">
        <f>IF(BikePurchase[[#This Row],[Purchased BikeX]]="No","Not Purchased","Purchased")</f>
        <v>Not Purchased</v>
      </c>
    </row>
    <row r="719" spans="1:17" x14ac:dyDescent="0.3">
      <c r="A719">
        <v>19661</v>
      </c>
      <c r="B719" t="s">
        <v>31</v>
      </c>
      <c r="C719" t="str">
        <f t="shared" si="22"/>
        <v>Single</v>
      </c>
      <c r="D719" t="s">
        <v>30</v>
      </c>
      <c r="E719" t="str">
        <f t="shared" si="23"/>
        <v>Male</v>
      </c>
      <c r="F719" s="2">
        <v>90000</v>
      </c>
      <c r="G719">
        <v>4</v>
      </c>
      <c r="H719" t="s">
        <v>11</v>
      </c>
      <c r="I719" t="s">
        <v>25</v>
      </c>
      <c r="J719" t="s">
        <v>13</v>
      </c>
      <c r="K719">
        <v>1</v>
      </c>
      <c r="L719" t="s">
        <v>23</v>
      </c>
      <c r="M719" t="s">
        <v>28</v>
      </c>
      <c r="N719" s="2">
        <v>38</v>
      </c>
      <c r="O719" t="str" cm="1">
        <f t="array" ref="O719">_xlfn.IFS(
  AND(BikePurchase[[#This Row],[Age]]&gt;=18, BikePurchase[[#This Row],[Age]]&lt;=30), "Adolescent",
  AND(BikePurchase[[#This Row],[Age]]&gt;30, BikePurchase[[#This Row],[Age]]&lt;55), "Middle Aged",
  AND(BikePurchase[[#This Row],[Age]]&gt;=55, BikePurchase[[#This Row],[Age]]&lt;90), "Old",
  TRUE, "Invalid"
)</f>
        <v>Middle Aged</v>
      </c>
      <c r="P719" t="s">
        <v>13</v>
      </c>
      <c r="Q719" t="str">
        <f>IF(BikePurchase[[#This Row],[Purchased BikeX]]="No","Not Purchased","Purchased")</f>
        <v>Purchased</v>
      </c>
    </row>
    <row r="720" spans="1:17" x14ac:dyDescent="0.3">
      <c r="A720">
        <v>26327</v>
      </c>
      <c r="B720" t="s">
        <v>30</v>
      </c>
      <c r="C720" t="str">
        <f t="shared" si="22"/>
        <v>Married</v>
      </c>
      <c r="D720" t="s">
        <v>30</v>
      </c>
      <c r="E720" t="str">
        <f t="shared" si="23"/>
        <v>Male</v>
      </c>
      <c r="F720" s="2">
        <v>70000</v>
      </c>
      <c r="G720">
        <v>4</v>
      </c>
      <c r="H720" t="s">
        <v>27</v>
      </c>
      <c r="I720" t="s">
        <v>18</v>
      </c>
      <c r="J720" t="s">
        <v>13</v>
      </c>
      <c r="K720">
        <v>0</v>
      </c>
      <c r="L720" t="s">
        <v>19</v>
      </c>
      <c r="M720" t="s">
        <v>28</v>
      </c>
      <c r="N720" s="2">
        <v>36</v>
      </c>
      <c r="O720" t="str" cm="1">
        <f t="array" ref="O720">_xlfn.IFS(
  AND(BikePurchase[[#This Row],[Age]]&gt;=18, BikePurchase[[#This Row],[Age]]&lt;=30), "Adolescent",
  AND(BikePurchase[[#This Row],[Age]]&gt;30, BikePurchase[[#This Row],[Age]]&lt;55), "Middle Aged",
  AND(BikePurchase[[#This Row],[Age]]&gt;=55, BikePurchase[[#This Row],[Age]]&lt;90), "Old",
  TRUE, "Invalid"
)</f>
        <v>Middle Aged</v>
      </c>
      <c r="P720" t="s">
        <v>13</v>
      </c>
      <c r="Q720" t="str">
        <f>IF(BikePurchase[[#This Row],[Purchased BikeX]]="No","Not Purchased","Purchased")</f>
        <v>Purchased</v>
      </c>
    </row>
    <row r="721" spans="1:17" x14ac:dyDescent="0.3">
      <c r="A721">
        <v>26341</v>
      </c>
      <c r="B721" t="s">
        <v>30</v>
      </c>
      <c r="C721" t="str">
        <f t="shared" si="22"/>
        <v>Married</v>
      </c>
      <c r="D721" t="s">
        <v>29</v>
      </c>
      <c r="E721" t="str">
        <f t="shared" si="23"/>
        <v>Female</v>
      </c>
      <c r="F721" s="2">
        <v>70000</v>
      </c>
      <c r="G721">
        <v>5</v>
      </c>
      <c r="H721" t="s">
        <v>27</v>
      </c>
      <c r="I721" t="s">
        <v>18</v>
      </c>
      <c r="J721" t="s">
        <v>13</v>
      </c>
      <c r="K721">
        <v>2</v>
      </c>
      <c r="L721" t="s">
        <v>35</v>
      </c>
      <c r="M721" t="s">
        <v>28</v>
      </c>
      <c r="N721" s="2">
        <v>37</v>
      </c>
      <c r="O721" t="str" cm="1">
        <f t="array" ref="O721">_xlfn.IFS(
  AND(BikePurchase[[#This Row],[Age]]&gt;=18, BikePurchase[[#This Row],[Age]]&lt;=30), "Adolescent",
  AND(BikePurchase[[#This Row],[Age]]&gt;30, BikePurchase[[#This Row],[Age]]&lt;55), "Middle Aged",
  AND(BikePurchase[[#This Row],[Age]]&gt;=55, BikePurchase[[#This Row],[Age]]&lt;90), "Old",
  TRUE, "Invalid"
)</f>
        <v>Middle Aged</v>
      </c>
      <c r="P721" t="s">
        <v>15</v>
      </c>
      <c r="Q721" t="str">
        <f>IF(BikePurchase[[#This Row],[Purchased BikeX]]="No","Not Purchased","Purchased")</f>
        <v>Not Purchased</v>
      </c>
    </row>
    <row r="722" spans="1:17" x14ac:dyDescent="0.3">
      <c r="A722">
        <v>24958</v>
      </c>
      <c r="B722" t="s">
        <v>31</v>
      </c>
      <c r="C722" t="str">
        <f t="shared" si="22"/>
        <v>Single</v>
      </c>
      <c r="D722" t="s">
        <v>29</v>
      </c>
      <c r="E722" t="str">
        <f t="shared" si="23"/>
        <v>Female</v>
      </c>
      <c r="F722" s="2">
        <v>40000</v>
      </c>
      <c r="G722">
        <v>5</v>
      </c>
      <c r="H722" t="s">
        <v>24</v>
      </c>
      <c r="I722" t="s">
        <v>18</v>
      </c>
      <c r="J722" t="s">
        <v>15</v>
      </c>
      <c r="K722">
        <v>3</v>
      </c>
      <c r="L722" t="s">
        <v>19</v>
      </c>
      <c r="M722" t="s">
        <v>28</v>
      </c>
      <c r="N722" s="2">
        <v>60</v>
      </c>
      <c r="O722" t="str" cm="1">
        <f t="array" ref="O722">_xlfn.IFS(
  AND(BikePurchase[[#This Row],[Age]]&gt;=18, BikePurchase[[#This Row],[Age]]&lt;=30), "Adolescent",
  AND(BikePurchase[[#This Row],[Age]]&gt;30, BikePurchase[[#This Row],[Age]]&lt;55), "Middle Aged",
  AND(BikePurchase[[#This Row],[Age]]&gt;=55, BikePurchase[[#This Row],[Age]]&lt;90), "Old",
  TRUE, "Invalid"
)</f>
        <v>Old</v>
      </c>
      <c r="P722" t="s">
        <v>13</v>
      </c>
      <c r="Q722" t="str">
        <f>IF(BikePurchase[[#This Row],[Purchased BikeX]]="No","Not Purchased","Purchased")</f>
        <v>Purchased</v>
      </c>
    </row>
    <row r="723" spans="1:17" x14ac:dyDescent="0.3">
      <c r="A723">
        <v>13287</v>
      </c>
      <c r="B723" t="s">
        <v>31</v>
      </c>
      <c r="C723" t="str">
        <f t="shared" si="22"/>
        <v>Single</v>
      </c>
      <c r="D723" t="s">
        <v>30</v>
      </c>
      <c r="E723" t="str">
        <f t="shared" si="23"/>
        <v>Male</v>
      </c>
      <c r="F723" s="2">
        <v>110000</v>
      </c>
      <c r="G723">
        <v>4</v>
      </c>
      <c r="H723" t="s">
        <v>11</v>
      </c>
      <c r="I723" t="s">
        <v>25</v>
      </c>
      <c r="J723" t="s">
        <v>13</v>
      </c>
      <c r="K723">
        <v>4</v>
      </c>
      <c r="L723" t="s">
        <v>20</v>
      </c>
      <c r="M723" t="s">
        <v>28</v>
      </c>
      <c r="N723" s="2">
        <v>42</v>
      </c>
      <c r="O723" t="str" cm="1">
        <f t="array" ref="O723">_xlfn.IFS(
  AND(BikePurchase[[#This Row],[Age]]&gt;=18, BikePurchase[[#This Row],[Age]]&lt;=30), "Adolescent",
  AND(BikePurchase[[#This Row],[Age]]&gt;30, BikePurchase[[#This Row],[Age]]&lt;55), "Middle Aged",
  AND(BikePurchase[[#This Row],[Age]]&gt;=55, BikePurchase[[#This Row],[Age]]&lt;90), "Old",
  TRUE, "Invalid"
)</f>
        <v>Middle Aged</v>
      </c>
      <c r="P723" t="s">
        <v>13</v>
      </c>
      <c r="Q723" t="str">
        <f>IF(BikePurchase[[#This Row],[Purchased BikeX]]="No","Not Purchased","Purchased")</f>
        <v>Purchased</v>
      </c>
    </row>
    <row r="724" spans="1:17" x14ac:dyDescent="0.3">
      <c r="A724">
        <v>14493</v>
      </c>
      <c r="B724" t="s">
        <v>31</v>
      </c>
      <c r="C724" t="str">
        <f t="shared" si="22"/>
        <v>Single</v>
      </c>
      <c r="D724" t="s">
        <v>29</v>
      </c>
      <c r="E724" t="str">
        <f t="shared" si="23"/>
        <v>Female</v>
      </c>
      <c r="F724" s="2">
        <v>70000</v>
      </c>
      <c r="G724">
        <v>3</v>
      </c>
      <c r="H724" t="s">
        <v>27</v>
      </c>
      <c r="I724" t="s">
        <v>25</v>
      </c>
      <c r="J724" t="s">
        <v>15</v>
      </c>
      <c r="K724">
        <v>2</v>
      </c>
      <c r="L724" t="s">
        <v>23</v>
      </c>
      <c r="M724" t="s">
        <v>28</v>
      </c>
      <c r="N724" s="2">
        <v>53</v>
      </c>
      <c r="O724" t="str" cm="1">
        <f t="array" ref="O724">_xlfn.IFS(
  AND(BikePurchase[[#This Row],[Age]]&gt;=18, BikePurchase[[#This Row],[Age]]&lt;=30), "Adolescent",
  AND(BikePurchase[[#This Row],[Age]]&gt;30, BikePurchase[[#This Row],[Age]]&lt;55), "Middle Aged",
  AND(BikePurchase[[#This Row],[Age]]&gt;=55, BikePurchase[[#This Row],[Age]]&lt;90), "Old",
  TRUE, "Invalid"
)</f>
        <v>Middle Aged</v>
      </c>
      <c r="P724" t="s">
        <v>15</v>
      </c>
      <c r="Q724" t="str">
        <f>IF(BikePurchase[[#This Row],[Purchased BikeX]]="No","Not Purchased","Purchased")</f>
        <v>Not Purchased</v>
      </c>
    </row>
    <row r="725" spans="1:17" x14ac:dyDescent="0.3">
      <c r="A725">
        <v>26678</v>
      </c>
      <c r="B725" t="s">
        <v>31</v>
      </c>
      <c r="C725" t="str">
        <f t="shared" si="22"/>
        <v>Single</v>
      </c>
      <c r="D725" t="s">
        <v>29</v>
      </c>
      <c r="E725" t="str">
        <f t="shared" si="23"/>
        <v>Female</v>
      </c>
      <c r="F725" s="2">
        <v>80000</v>
      </c>
      <c r="G725">
        <v>2</v>
      </c>
      <c r="H725" t="s">
        <v>26</v>
      </c>
      <c r="I725" t="s">
        <v>12</v>
      </c>
      <c r="J725" t="s">
        <v>13</v>
      </c>
      <c r="K725">
        <v>2</v>
      </c>
      <c r="L725" t="s">
        <v>20</v>
      </c>
      <c r="M725" t="s">
        <v>28</v>
      </c>
      <c r="N725" s="2">
        <v>49</v>
      </c>
      <c r="O725" t="str" cm="1">
        <f t="array" ref="O725">_xlfn.IFS(
  AND(BikePurchase[[#This Row],[Age]]&gt;=18, BikePurchase[[#This Row],[Age]]&lt;=30), "Adolescent",
  AND(BikePurchase[[#This Row],[Age]]&gt;30, BikePurchase[[#This Row],[Age]]&lt;55), "Middle Aged",
  AND(BikePurchase[[#This Row],[Age]]&gt;=55, BikePurchase[[#This Row],[Age]]&lt;90), "Old",
  TRUE, "Invalid"
)</f>
        <v>Middle Aged</v>
      </c>
      <c r="P725" t="s">
        <v>15</v>
      </c>
      <c r="Q725" t="str">
        <f>IF(BikePurchase[[#This Row],[Purchased BikeX]]="No","Not Purchased","Purchased")</f>
        <v>Not Purchased</v>
      </c>
    </row>
    <row r="726" spans="1:17" x14ac:dyDescent="0.3">
      <c r="A726">
        <v>23275</v>
      </c>
      <c r="B726" t="s">
        <v>30</v>
      </c>
      <c r="C726" t="str">
        <f t="shared" si="22"/>
        <v>Married</v>
      </c>
      <c r="D726" t="s">
        <v>30</v>
      </c>
      <c r="E726" t="str">
        <f t="shared" si="23"/>
        <v>Male</v>
      </c>
      <c r="F726" s="2">
        <v>30000</v>
      </c>
      <c r="G726">
        <v>2</v>
      </c>
      <c r="H726" t="s">
        <v>24</v>
      </c>
      <c r="I726" t="s">
        <v>12</v>
      </c>
      <c r="J726" t="s">
        <v>13</v>
      </c>
      <c r="K726">
        <v>2</v>
      </c>
      <c r="L726" t="s">
        <v>23</v>
      </c>
      <c r="M726" t="s">
        <v>28</v>
      </c>
      <c r="N726" s="2">
        <v>49</v>
      </c>
      <c r="O726" t="str" cm="1">
        <f t="array" ref="O726">_xlfn.IFS(
  AND(BikePurchase[[#This Row],[Age]]&gt;=18, BikePurchase[[#This Row],[Age]]&lt;=30), "Adolescent",
  AND(BikePurchase[[#This Row],[Age]]&gt;30, BikePurchase[[#This Row],[Age]]&lt;55), "Middle Aged",
  AND(BikePurchase[[#This Row],[Age]]&gt;=55, BikePurchase[[#This Row],[Age]]&lt;90), "Old",
  TRUE, "Invalid"
)</f>
        <v>Middle Aged</v>
      </c>
      <c r="P726" t="s">
        <v>15</v>
      </c>
      <c r="Q726" t="str">
        <f>IF(BikePurchase[[#This Row],[Purchased BikeX]]="No","Not Purchased","Purchased")</f>
        <v>Not Purchased</v>
      </c>
    </row>
    <row r="727" spans="1:17" x14ac:dyDescent="0.3">
      <c r="A727">
        <v>11270</v>
      </c>
      <c r="B727" t="s">
        <v>30</v>
      </c>
      <c r="C727" t="str">
        <f t="shared" si="22"/>
        <v>Married</v>
      </c>
      <c r="D727" t="s">
        <v>30</v>
      </c>
      <c r="E727" t="str">
        <f t="shared" si="23"/>
        <v>Male</v>
      </c>
      <c r="F727" s="2">
        <v>130000</v>
      </c>
      <c r="G727">
        <v>2</v>
      </c>
      <c r="H727" t="s">
        <v>27</v>
      </c>
      <c r="I727" t="s">
        <v>25</v>
      </c>
      <c r="J727" t="s">
        <v>13</v>
      </c>
      <c r="K727">
        <v>3</v>
      </c>
      <c r="L727" t="s">
        <v>35</v>
      </c>
      <c r="M727" t="s">
        <v>28</v>
      </c>
      <c r="N727" s="2">
        <v>42</v>
      </c>
      <c r="O727" t="str" cm="1">
        <f t="array" ref="O727">_xlfn.IFS(
  AND(BikePurchase[[#This Row],[Age]]&gt;=18, BikePurchase[[#This Row],[Age]]&lt;=30), "Adolescent",
  AND(BikePurchase[[#This Row],[Age]]&gt;30, BikePurchase[[#This Row],[Age]]&lt;55), "Middle Aged",
  AND(BikePurchase[[#This Row],[Age]]&gt;=55, BikePurchase[[#This Row],[Age]]&lt;90), "Old",
  TRUE, "Invalid"
)</f>
        <v>Middle Aged</v>
      </c>
      <c r="P727" t="s">
        <v>13</v>
      </c>
      <c r="Q727" t="str">
        <f>IF(BikePurchase[[#This Row],[Purchased BikeX]]="No","Not Purchased","Purchased")</f>
        <v>Purchased</v>
      </c>
    </row>
    <row r="728" spans="1:17" x14ac:dyDescent="0.3">
      <c r="A728">
        <v>20084</v>
      </c>
      <c r="B728" t="s">
        <v>30</v>
      </c>
      <c r="C728" t="str">
        <f t="shared" si="22"/>
        <v>Married</v>
      </c>
      <c r="D728" t="s">
        <v>30</v>
      </c>
      <c r="E728" t="str">
        <f t="shared" si="23"/>
        <v>Male</v>
      </c>
      <c r="F728" s="2">
        <v>20000</v>
      </c>
      <c r="G728">
        <v>2</v>
      </c>
      <c r="H728" t="s">
        <v>24</v>
      </c>
      <c r="I728" t="s">
        <v>22</v>
      </c>
      <c r="J728" t="s">
        <v>15</v>
      </c>
      <c r="K728">
        <v>2</v>
      </c>
      <c r="L728" t="s">
        <v>35</v>
      </c>
      <c r="M728" t="s">
        <v>28</v>
      </c>
      <c r="N728" s="2">
        <v>53</v>
      </c>
      <c r="O728" t="str" cm="1">
        <f t="array" ref="O728">_xlfn.IFS(
  AND(BikePurchase[[#This Row],[Age]]&gt;=18, BikePurchase[[#This Row],[Age]]&lt;=30), "Adolescent",
  AND(BikePurchase[[#This Row],[Age]]&gt;30, BikePurchase[[#This Row],[Age]]&lt;55), "Middle Aged",
  AND(BikePurchase[[#This Row],[Age]]&gt;=55, BikePurchase[[#This Row],[Age]]&lt;90), "Old",
  TRUE, "Invalid"
)</f>
        <v>Middle Aged</v>
      </c>
      <c r="P728" t="s">
        <v>15</v>
      </c>
      <c r="Q728" t="str">
        <f>IF(BikePurchase[[#This Row],[Purchased BikeX]]="No","Not Purchased","Purchased")</f>
        <v>Not Purchased</v>
      </c>
    </row>
    <row r="729" spans="1:17" x14ac:dyDescent="0.3">
      <c r="A729">
        <v>16144</v>
      </c>
      <c r="B729" t="s">
        <v>30</v>
      </c>
      <c r="C729" t="str">
        <f t="shared" si="22"/>
        <v>Married</v>
      </c>
      <c r="D729" t="s">
        <v>30</v>
      </c>
      <c r="E729" t="str">
        <f t="shared" si="23"/>
        <v>Male</v>
      </c>
      <c r="F729" s="2">
        <v>70000</v>
      </c>
      <c r="G729">
        <v>1</v>
      </c>
      <c r="H729" t="s">
        <v>27</v>
      </c>
      <c r="I729" t="s">
        <v>18</v>
      </c>
      <c r="J729" t="s">
        <v>13</v>
      </c>
      <c r="K729">
        <v>1</v>
      </c>
      <c r="L729" t="s">
        <v>35</v>
      </c>
      <c r="M729" t="s">
        <v>28</v>
      </c>
      <c r="N729" s="2">
        <v>46</v>
      </c>
      <c r="O729" t="str" cm="1">
        <f t="array" ref="O729">_xlfn.IFS(
  AND(BikePurchase[[#This Row],[Age]]&gt;=18, BikePurchase[[#This Row],[Age]]&lt;=30), "Adolescent",
  AND(BikePurchase[[#This Row],[Age]]&gt;30, BikePurchase[[#This Row],[Age]]&lt;55), "Middle Aged",
  AND(BikePurchase[[#This Row],[Age]]&gt;=55, BikePurchase[[#This Row],[Age]]&lt;90), "Old",
  TRUE, "Invalid"
)</f>
        <v>Middle Aged</v>
      </c>
      <c r="P729" t="s">
        <v>13</v>
      </c>
      <c r="Q729" t="str">
        <f>IF(BikePurchase[[#This Row],[Purchased BikeX]]="No","Not Purchased","Purchased")</f>
        <v>Purchased</v>
      </c>
    </row>
    <row r="730" spans="1:17" x14ac:dyDescent="0.3">
      <c r="A730">
        <v>27731</v>
      </c>
      <c r="B730" t="s">
        <v>30</v>
      </c>
      <c r="C730" t="str">
        <f t="shared" si="22"/>
        <v>Married</v>
      </c>
      <c r="D730" t="s">
        <v>30</v>
      </c>
      <c r="E730" t="str">
        <f t="shared" si="23"/>
        <v>Male</v>
      </c>
      <c r="F730" s="2">
        <v>40000</v>
      </c>
      <c r="G730">
        <v>0</v>
      </c>
      <c r="H730" t="s">
        <v>24</v>
      </c>
      <c r="I730" t="s">
        <v>12</v>
      </c>
      <c r="J730" t="s">
        <v>13</v>
      </c>
      <c r="K730">
        <v>2</v>
      </c>
      <c r="L730" t="s">
        <v>20</v>
      </c>
      <c r="M730" t="s">
        <v>28</v>
      </c>
      <c r="N730" s="2">
        <v>27</v>
      </c>
      <c r="O730" t="str" cm="1">
        <f t="array" ref="O730">_xlfn.IFS(
  AND(BikePurchase[[#This Row],[Age]]&gt;=18, BikePurchase[[#This Row],[Age]]&lt;=30), "Adolescent",
  AND(BikePurchase[[#This Row],[Age]]&gt;30, BikePurchase[[#This Row],[Age]]&lt;55), "Middle Aged",
  AND(BikePurchase[[#This Row],[Age]]&gt;=55, BikePurchase[[#This Row],[Age]]&lt;90), "Old",
  TRUE, "Invalid"
)</f>
        <v>Adolescent</v>
      </c>
      <c r="P730" t="s">
        <v>15</v>
      </c>
      <c r="Q730" t="str">
        <f>IF(BikePurchase[[#This Row],[Purchased BikeX]]="No","Not Purchased","Purchased")</f>
        <v>Not Purchased</v>
      </c>
    </row>
    <row r="731" spans="1:17" x14ac:dyDescent="0.3">
      <c r="A731">
        <v>11886</v>
      </c>
      <c r="B731" t="s">
        <v>30</v>
      </c>
      <c r="C731" t="str">
        <f t="shared" si="22"/>
        <v>Married</v>
      </c>
      <c r="D731" t="s">
        <v>29</v>
      </c>
      <c r="E731" t="str">
        <f t="shared" si="23"/>
        <v>Female</v>
      </c>
      <c r="F731" s="2">
        <v>60000</v>
      </c>
      <c r="G731">
        <v>3</v>
      </c>
      <c r="H731" t="s">
        <v>11</v>
      </c>
      <c r="I731" t="s">
        <v>18</v>
      </c>
      <c r="J731" t="s">
        <v>13</v>
      </c>
      <c r="K731">
        <v>1</v>
      </c>
      <c r="L731" t="s">
        <v>35</v>
      </c>
      <c r="M731" t="s">
        <v>28</v>
      </c>
      <c r="N731" s="2">
        <v>48</v>
      </c>
      <c r="O731" t="str" cm="1">
        <f t="array" ref="O731">_xlfn.IFS(
  AND(BikePurchase[[#This Row],[Age]]&gt;=18, BikePurchase[[#This Row],[Age]]&lt;=30), "Adolescent",
  AND(BikePurchase[[#This Row],[Age]]&gt;30, BikePurchase[[#This Row],[Age]]&lt;55), "Middle Aged",
  AND(BikePurchase[[#This Row],[Age]]&gt;=55, BikePurchase[[#This Row],[Age]]&lt;90), "Old",
  TRUE, "Invalid"
)</f>
        <v>Middle Aged</v>
      </c>
      <c r="P731" t="s">
        <v>13</v>
      </c>
      <c r="Q731" t="str">
        <f>IF(BikePurchase[[#This Row],[Purchased BikeX]]="No","Not Purchased","Purchased")</f>
        <v>Purchased</v>
      </c>
    </row>
    <row r="732" spans="1:17" x14ac:dyDescent="0.3">
      <c r="A732">
        <v>24324</v>
      </c>
      <c r="B732" t="s">
        <v>31</v>
      </c>
      <c r="C732" t="str">
        <f t="shared" si="22"/>
        <v>Single</v>
      </c>
      <c r="D732" t="s">
        <v>29</v>
      </c>
      <c r="E732" t="str">
        <f t="shared" si="23"/>
        <v>Female</v>
      </c>
      <c r="F732" s="2">
        <v>60000</v>
      </c>
      <c r="G732">
        <v>4</v>
      </c>
      <c r="H732" t="s">
        <v>11</v>
      </c>
      <c r="I732" t="s">
        <v>12</v>
      </c>
      <c r="J732" t="s">
        <v>13</v>
      </c>
      <c r="K732">
        <v>2</v>
      </c>
      <c r="L732" t="s">
        <v>19</v>
      </c>
      <c r="M732" t="s">
        <v>28</v>
      </c>
      <c r="N732" s="2">
        <v>41</v>
      </c>
      <c r="O732" t="str" cm="1">
        <f t="array" ref="O732">_xlfn.IFS(
  AND(BikePurchase[[#This Row],[Age]]&gt;=18, BikePurchase[[#This Row],[Age]]&lt;=30), "Adolescent",
  AND(BikePurchase[[#This Row],[Age]]&gt;30, BikePurchase[[#This Row],[Age]]&lt;55), "Middle Aged",
  AND(BikePurchase[[#This Row],[Age]]&gt;=55, BikePurchase[[#This Row],[Age]]&lt;90), "Old",
  TRUE, "Invalid"
)</f>
        <v>Middle Aged</v>
      </c>
      <c r="P732" t="s">
        <v>13</v>
      </c>
      <c r="Q732" t="str">
        <f>IF(BikePurchase[[#This Row],[Purchased BikeX]]="No","Not Purchased","Purchased")</f>
        <v>Purchased</v>
      </c>
    </row>
    <row r="733" spans="1:17" x14ac:dyDescent="0.3">
      <c r="A733">
        <v>22220</v>
      </c>
      <c r="B733" t="s">
        <v>30</v>
      </c>
      <c r="C733" t="str">
        <f t="shared" si="22"/>
        <v>Married</v>
      </c>
      <c r="D733" t="s">
        <v>30</v>
      </c>
      <c r="E733" t="str">
        <f t="shared" si="23"/>
        <v>Male</v>
      </c>
      <c r="F733" s="2">
        <v>60000</v>
      </c>
      <c r="G733">
        <v>2</v>
      </c>
      <c r="H733" t="s">
        <v>24</v>
      </c>
      <c r="I733" t="s">
        <v>18</v>
      </c>
      <c r="J733" t="s">
        <v>15</v>
      </c>
      <c r="K733">
        <v>2</v>
      </c>
      <c r="L733" t="s">
        <v>23</v>
      </c>
      <c r="M733" t="s">
        <v>28</v>
      </c>
      <c r="N733" s="2">
        <v>49</v>
      </c>
      <c r="O733" t="str" cm="1">
        <f t="array" ref="O733">_xlfn.IFS(
  AND(BikePurchase[[#This Row],[Age]]&gt;=18, BikePurchase[[#This Row],[Age]]&lt;=30), "Adolescent",
  AND(BikePurchase[[#This Row],[Age]]&gt;30, BikePurchase[[#This Row],[Age]]&lt;55), "Middle Aged",
  AND(BikePurchase[[#This Row],[Age]]&gt;=55, BikePurchase[[#This Row],[Age]]&lt;90), "Old",
  TRUE, "Invalid"
)</f>
        <v>Middle Aged</v>
      </c>
      <c r="P733" t="s">
        <v>13</v>
      </c>
      <c r="Q733" t="str">
        <f>IF(BikePurchase[[#This Row],[Purchased BikeX]]="No","Not Purchased","Purchased")</f>
        <v>Purchased</v>
      </c>
    </row>
    <row r="734" spans="1:17" x14ac:dyDescent="0.3">
      <c r="A734">
        <v>26625</v>
      </c>
      <c r="B734" t="s">
        <v>31</v>
      </c>
      <c r="C734" t="str">
        <f t="shared" si="22"/>
        <v>Single</v>
      </c>
      <c r="D734" t="s">
        <v>29</v>
      </c>
      <c r="E734" t="str">
        <f t="shared" si="23"/>
        <v>Female</v>
      </c>
      <c r="F734" s="2">
        <v>60000</v>
      </c>
      <c r="G734">
        <v>0</v>
      </c>
      <c r="H734" t="s">
        <v>27</v>
      </c>
      <c r="I734" t="s">
        <v>18</v>
      </c>
      <c r="J734" t="s">
        <v>13</v>
      </c>
      <c r="K734">
        <v>1</v>
      </c>
      <c r="L734" t="s">
        <v>19</v>
      </c>
      <c r="M734" t="s">
        <v>28</v>
      </c>
      <c r="N734" s="2">
        <v>38</v>
      </c>
      <c r="O734" t="str" cm="1">
        <f t="array" ref="O734">_xlfn.IFS(
  AND(BikePurchase[[#This Row],[Age]]&gt;=18, BikePurchase[[#This Row],[Age]]&lt;=30), "Adolescent",
  AND(BikePurchase[[#This Row],[Age]]&gt;30, BikePurchase[[#This Row],[Age]]&lt;55), "Middle Aged",
  AND(BikePurchase[[#This Row],[Age]]&gt;=55, BikePurchase[[#This Row],[Age]]&lt;90), "Old",
  TRUE, "Invalid"
)</f>
        <v>Middle Aged</v>
      </c>
      <c r="P734" t="s">
        <v>13</v>
      </c>
      <c r="Q734" t="str">
        <f>IF(BikePurchase[[#This Row],[Purchased BikeX]]="No","Not Purchased","Purchased")</f>
        <v>Purchased</v>
      </c>
    </row>
    <row r="735" spans="1:17" x14ac:dyDescent="0.3">
      <c r="A735">
        <v>23027</v>
      </c>
      <c r="B735" t="s">
        <v>31</v>
      </c>
      <c r="C735" t="str">
        <f t="shared" si="22"/>
        <v>Single</v>
      </c>
      <c r="D735" t="s">
        <v>30</v>
      </c>
      <c r="E735" t="str">
        <f t="shared" si="23"/>
        <v>Male</v>
      </c>
      <c r="F735" s="2">
        <v>130000</v>
      </c>
      <c r="G735">
        <v>1</v>
      </c>
      <c r="H735" t="s">
        <v>11</v>
      </c>
      <c r="I735" t="s">
        <v>25</v>
      </c>
      <c r="J735" t="s">
        <v>15</v>
      </c>
      <c r="K735">
        <v>4</v>
      </c>
      <c r="L735" t="s">
        <v>35</v>
      </c>
      <c r="M735" t="s">
        <v>28</v>
      </c>
      <c r="N735" s="2">
        <v>44</v>
      </c>
      <c r="O735" t="str" cm="1">
        <f t="array" ref="O735">_xlfn.IFS(
  AND(BikePurchase[[#This Row],[Age]]&gt;=18, BikePurchase[[#This Row],[Age]]&lt;=30), "Adolescent",
  AND(BikePurchase[[#This Row],[Age]]&gt;30, BikePurchase[[#This Row],[Age]]&lt;55), "Middle Aged",
  AND(BikePurchase[[#This Row],[Age]]&gt;=55, BikePurchase[[#This Row],[Age]]&lt;90), "Old",
  TRUE, "Invalid"
)</f>
        <v>Middle Aged</v>
      </c>
      <c r="P735" t="s">
        <v>15</v>
      </c>
      <c r="Q735" t="str">
        <f>IF(BikePurchase[[#This Row],[Purchased BikeX]]="No","Not Purchased","Purchased")</f>
        <v>Not Purchased</v>
      </c>
    </row>
    <row r="736" spans="1:17" x14ac:dyDescent="0.3">
      <c r="A736">
        <v>16867</v>
      </c>
      <c r="B736" t="s">
        <v>31</v>
      </c>
      <c r="C736" t="str">
        <f t="shared" si="22"/>
        <v>Single</v>
      </c>
      <c r="D736" t="s">
        <v>29</v>
      </c>
      <c r="E736" t="str">
        <f t="shared" si="23"/>
        <v>Female</v>
      </c>
      <c r="F736" s="2">
        <v>130000</v>
      </c>
      <c r="G736">
        <v>1</v>
      </c>
      <c r="H736" t="s">
        <v>11</v>
      </c>
      <c r="I736" t="s">
        <v>25</v>
      </c>
      <c r="J736" t="s">
        <v>15</v>
      </c>
      <c r="K736">
        <v>3</v>
      </c>
      <c r="L736" t="s">
        <v>35</v>
      </c>
      <c r="M736" t="s">
        <v>28</v>
      </c>
      <c r="N736" s="2">
        <v>45</v>
      </c>
      <c r="O736" t="str" cm="1">
        <f t="array" ref="O736">_xlfn.IFS(
  AND(BikePurchase[[#This Row],[Age]]&gt;=18, BikePurchase[[#This Row],[Age]]&lt;=30), "Adolescent",
  AND(BikePurchase[[#This Row],[Age]]&gt;30, BikePurchase[[#This Row],[Age]]&lt;55), "Middle Aged",
  AND(BikePurchase[[#This Row],[Age]]&gt;=55, BikePurchase[[#This Row],[Age]]&lt;90), "Old",
  TRUE, "Invalid"
)</f>
        <v>Middle Aged</v>
      </c>
      <c r="P736" t="s">
        <v>13</v>
      </c>
      <c r="Q736" t="str">
        <f>IF(BikePurchase[[#This Row],[Purchased BikeX]]="No","Not Purchased","Purchased")</f>
        <v>Purchased</v>
      </c>
    </row>
    <row r="737" spans="1:17" x14ac:dyDescent="0.3">
      <c r="A737">
        <v>14514</v>
      </c>
      <c r="B737" t="s">
        <v>31</v>
      </c>
      <c r="C737" t="str">
        <f t="shared" si="22"/>
        <v>Single</v>
      </c>
      <c r="D737" t="s">
        <v>29</v>
      </c>
      <c r="E737" t="str">
        <f t="shared" si="23"/>
        <v>Female</v>
      </c>
      <c r="F737" s="2">
        <v>30000</v>
      </c>
      <c r="G737">
        <v>0</v>
      </c>
      <c r="H737" t="s">
        <v>16</v>
      </c>
      <c r="I737" t="s">
        <v>12</v>
      </c>
      <c r="J737" t="s">
        <v>13</v>
      </c>
      <c r="K737">
        <v>1</v>
      </c>
      <c r="L737" t="s">
        <v>20</v>
      </c>
      <c r="M737" t="s">
        <v>28</v>
      </c>
      <c r="N737" s="2">
        <v>26</v>
      </c>
      <c r="O737" t="str" cm="1">
        <f t="array" ref="O737">_xlfn.IFS(
  AND(BikePurchase[[#This Row],[Age]]&gt;=18, BikePurchase[[#This Row],[Age]]&lt;=30), "Adolescent",
  AND(BikePurchase[[#This Row],[Age]]&gt;30, BikePurchase[[#This Row],[Age]]&lt;55), "Middle Aged",
  AND(BikePurchase[[#This Row],[Age]]&gt;=55, BikePurchase[[#This Row],[Age]]&lt;90), "Old",
  TRUE, "Invalid"
)</f>
        <v>Adolescent</v>
      </c>
      <c r="P737" t="s">
        <v>15</v>
      </c>
      <c r="Q737" t="str">
        <f>IF(BikePurchase[[#This Row],[Purchased BikeX]]="No","Not Purchased","Purchased")</f>
        <v>Not Purchased</v>
      </c>
    </row>
    <row r="738" spans="1:17" x14ac:dyDescent="0.3">
      <c r="A738">
        <v>19634</v>
      </c>
      <c r="B738" t="s">
        <v>30</v>
      </c>
      <c r="C738" t="str">
        <f t="shared" si="22"/>
        <v>Married</v>
      </c>
      <c r="D738" t="s">
        <v>30</v>
      </c>
      <c r="E738" t="str">
        <f t="shared" si="23"/>
        <v>Male</v>
      </c>
      <c r="F738" s="2">
        <v>40000</v>
      </c>
      <c r="G738">
        <v>0</v>
      </c>
      <c r="H738" t="s">
        <v>24</v>
      </c>
      <c r="I738" t="s">
        <v>12</v>
      </c>
      <c r="J738" t="s">
        <v>13</v>
      </c>
      <c r="K738">
        <v>1</v>
      </c>
      <c r="L738" t="s">
        <v>20</v>
      </c>
      <c r="M738" t="s">
        <v>28</v>
      </c>
      <c r="N738" s="2">
        <v>31</v>
      </c>
      <c r="O738" t="str" cm="1">
        <f t="array" ref="O738">_xlfn.IFS(
  AND(BikePurchase[[#This Row],[Age]]&gt;=18, BikePurchase[[#This Row],[Age]]&lt;=30), "Adolescent",
  AND(BikePurchase[[#This Row],[Age]]&gt;30, BikePurchase[[#This Row],[Age]]&lt;55), "Middle Aged",
  AND(BikePurchase[[#This Row],[Age]]&gt;=55, BikePurchase[[#This Row],[Age]]&lt;90), "Old",
  TRUE, "Invalid"
)</f>
        <v>Middle Aged</v>
      </c>
      <c r="P738" t="s">
        <v>15</v>
      </c>
      <c r="Q738" t="str">
        <f>IF(BikePurchase[[#This Row],[Purchased BikeX]]="No","Not Purchased","Purchased")</f>
        <v>Not Purchased</v>
      </c>
    </row>
    <row r="739" spans="1:17" x14ac:dyDescent="0.3">
      <c r="A739">
        <v>18504</v>
      </c>
      <c r="B739" t="s">
        <v>30</v>
      </c>
      <c r="C739" t="str">
        <f t="shared" si="22"/>
        <v>Married</v>
      </c>
      <c r="D739" t="s">
        <v>30</v>
      </c>
      <c r="E739" t="str">
        <f t="shared" si="23"/>
        <v>Male</v>
      </c>
      <c r="F739" s="2">
        <v>70000</v>
      </c>
      <c r="G739">
        <v>2</v>
      </c>
      <c r="H739" t="s">
        <v>26</v>
      </c>
      <c r="I739" t="s">
        <v>12</v>
      </c>
      <c r="J739" t="s">
        <v>15</v>
      </c>
      <c r="K739">
        <v>2</v>
      </c>
      <c r="L739" t="s">
        <v>23</v>
      </c>
      <c r="M739" t="s">
        <v>28</v>
      </c>
      <c r="N739" s="2">
        <v>49</v>
      </c>
      <c r="O739" t="str" cm="1">
        <f t="array" ref="O739">_xlfn.IFS(
  AND(BikePurchase[[#This Row],[Age]]&gt;=18, BikePurchase[[#This Row],[Age]]&lt;=30), "Adolescent",
  AND(BikePurchase[[#This Row],[Age]]&gt;30, BikePurchase[[#This Row],[Age]]&lt;55), "Middle Aged",
  AND(BikePurchase[[#This Row],[Age]]&gt;=55, BikePurchase[[#This Row],[Age]]&lt;90), "Old",
  TRUE, "Invalid"
)</f>
        <v>Middle Aged</v>
      </c>
      <c r="P739" t="s">
        <v>15</v>
      </c>
      <c r="Q739" t="str">
        <f>IF(BikePurchase[[#This Row],[Purchased BikeX]]="No","Not Purchased","Purchased")</f>
        <v>Not Purchased</v>
      </c>
    </row>
    <row r="740" spans="1:17" x14ac:dyDescent="0.3">
      <c r="A740">
        <v>28799</v>
      </c>
      <c r="B740" t="s">
        <v>31</v>
      </c>
      <c r="C740" t="str">
        <f t="shared" si="22"/>
        <v>Single</v>
      </c>
      <c r="D740" t="s">
        <v>29</v>
      </c>
      <c r="E740" t="str">
        <f t="shared" si="23"/>
        <v>Female</v>
      </c>
      <c r="F740" s="2">
        <v>40000</v>
      </c>
      <c r="G740">
        <v>2</v>
      </c>
      <c r="H740" t="s">
        <v>16</v>
      </c>
      <c r="I740" t="s">
        <v>17</v>
      </c>
      <c r="J740" t="s">
        <v>15</v>
      </c>
      <c r="K740">
        <v>1</v>
      </c>
      <c r="L740" t="s">
        <v>23</v>
      </c>
      <c r="M740" t="s">
        <v>28</v>
      </c>
      <c r="N740" s="2">
        <v>47</v>
      </c>
      <c r="O740" t="str" cm="1">
        <f t="array" ref="O740">_xlfn.IFS(
  AND(BikePurchase[[#This Row],[Age]]&gt;=18, BikePurchase[[#This Row],[Age]]&lt;=30), "Adolescent",
  AND(BikePurchase[[#This Row],[Age]]&gt;30, BikePurchase[[#This Row],[Age]]&lt;55), "Middle Aged",
  AND(BikePurchase[[#This Row],[Age]]&gt;=55, BikePurchase[[#This Row],[Age]]&lt;90), "Old",
  TRUE, "Invalid"
)</f>
        <v>Middle Aged</v>
      </c>
      <c r="P740" t="s">
        <v>13</v>
      </c>
      <c r="Q740" t="str">
        <f>IF(BikePurchase[[#This Row],[Purchased BikeX]]="No","Not Purchased","Purchased")</f>
        <v>Purchased</v>
      </c>
    </row>
    <row r="741" spans="1:17" x14ac:dyDescent="0.3">
      <c r="A741">
        <v>11225</v>
      </c>
      <c r="B741" t="s">
        <v>30</v>
      </c>
      <c r="C741" t="str">
        <f t="shared" si="22"/>
        <v>Married</v>
      </c>
      <c r="D741" t="s">
        <v>29</v>
      </c>
      <c r="E741" t="str">
        <f t="shared" si="23"/>
        <v>Female</v>
      </c>
      <c r="F741" s="2">
        <v>60000</v>
      </c>
      <c r="G741">
        <v>2</v>
      </c>
      <c r="H741" t="s">
        <v>16</v>
      </c>
      <c r="I741" t="s">
        <v>18</v>
      </c>
      <c r="J741" t="s">
        <v>13</v>
      </c>
      <c r="K741">
        <v>1</v>
      </c>
      <c r="L741" t="s">
        <v>48</v>
      </c>
      <c r="M741" t="s">
        <v>28</v>
      </c>
      <c r="N741" s="2">
        <v>55</v>
      </c>
      <c r="O741" t="str" cm="1">
        <f t="array" ref="O741">_xlfn.IFS(
  AND(BikePurchase[[#This Row],[Age]]&gt;=18, BikePurchase[[#This Row],[Age]]&lt;=30), "Adolescent",
  AND(BikePurchase[[#This Row],[Age]]&gt;30, BikePurchase[[#This Row],[Age]]&lt;55), "Middle Aged",
  AND(BikePurchase[[#This Row],[Age]]&gt;=55, BikePurchase[[#This Row],[Age]]&lt;90), "Old",
  TRUE, "Invalid"
)</f>
        <v>Old</v>
      </c>
      <c r="P741" t="s">
        <v>15</v>
      </c>
      <c r="Q741" t="str">
        <f>IF(BikePurchase[[#This Row],[Purchased BikeX]]="No","Not Purchased","Purchased")</f>
        <v>Not Purchased</v>
      </c>
    </row>
    <row r="742" spans="1:17" x14ac:dyDescent="0.3">
      <c r="A742">
        <v>17657</v>
      </c>
      <c r="B742" t="s">
        <v>30</v>
      </c>
      <c r="C742" t="str">
        <f t="shared" si="22"/>
        <v>Married</v>
      </c>
      <c r="D742" t="s">
        <v>30</v>
      </c>
      <c r="E742" t="str">
        <f t="shared" si="23"/>
        <v>Male</v>
      </c>
      <c r="F742" s="2">
        <v>40000</v>
      </c>
      <c r="G742">
        <v>4</v>
      </c>
      <c r="H742" t="s">
        <v>16</v>
      </c>
      <c r="I742" t="s">
        <v>17</v>
      </c>
      <c r="J742" t="s">
        <v>15</v>
      </c>
      <c r="K742">
        <v>0</v>
      </c>
      <c r="L742" t="s">
        <v>35</v>
      </c>
      <c r="M742" t="s">
        <v>28</v>
      </c>
      <c r="N742" s="2">
        <v>30</v>
      </c>
      <c r="O742" t="str" cm="1">
        <f t="array" ref="O742">_xlfn.IFS(
  AND(BikePurchase[[#This Row],[Age]]&gt;=18, BikePurchase[[#This Row],[Age]]&lt;=30), "Adolescent",
  AND(BikePurchase[[#This Row],[Age]]&gt;30, BikePurchase[[#This Row],[Age]]&lt;55), "Middle Aged",
  AND(BikePurchase[[#This Row],[Age]]&gt;=55, BikePurchase[[#This Row],[Age]]&lt;90), "Old",
  TRUE, "Invalid"
)</f>
        <v>Adolescent</v>
      </c>
      <c r="P742" t="s">
        <v>15</v>
      </c>
      <c r="Q742" t="str">
        <f>IF(BikePurchase[[#This Row],[Purchased BikeX]]="No","Not Purchased","Purchased")</f>
        <v>Not Purchased</v>
      </c>
    </row>
    <row r="743" spans="1:17" x14ac:dyDescent="0.3">
      <c r="A743">
        <v>14913</v>
      </c>
      <c r="B743" t="s">
        <v>30</v>
      </c>
      <c r="C743" t="str">
        <f t="shared" si="22"/>
        <v>Married</v>
      </c>
      <c r="D743" t="s">
        <v>29</v>
      </c>
      <c r="E743" t="str">
        <f t="shared" si="23"/>
        <v>Female</v>
      </c>
      <c r="F743" s="2">
        <v>40000</v>
      </c>
      <c r="G743">
        <v>1</v>
      </c>
      <c r="H743" t="s">
        <v>16</v>
      </c>
      <c r="I743" t="s">
        <v>17</v>
      </c>
      <c r="J743" t="s">
        <v>13</v>
      </c>
      <c r="K743">
        <v>1</v>
      </c>
      <c r="L743" t="s">
        <v>23</v>
      </c>
      <c r="M743" t="s">
        <v>28</v>
      </c>
      <c r="N743" s="2">
        <v>48</v>
      </c>
      <c r="O743" t="str" cm="1">
        <f t="array" ref="O743">_xlfn.IFS(
  AND(BikePurchase[[#This Row],[Age]]&gt;=18, BikePurchase[[#This Row],[Age]]&lt;=30), "Adolescent",
  AND(BikePurchase[[#This Row],[Age]]&gt;30, BikePurchase[[#This Row],[Age]]&lt;55), "Middle Aged",
  AND(BikePurchase[[#This Row],[Age]]&gt;=55, BikePurchase[[#This Row],[Age]]&lt;90), "Old",
  TRUE, "Invalid"
)</f>
        <v>Middle Aged</v>
      </c>
      <c r="P743" t="s">
        <v>13</v>
      </c>
      <c r="Q743" t="str">
        <f>IF(BikePurchase[[#This Row],[Purchased BikeX]]="No","Not Purchased","Purchased")</f>
        <v>Purchased</v>
      </c>
    </row>
    <row r="744" spans="1:17" x14ac:dyDescent="0.3">
      <c r="A744">
        <v>14077</v>
      </c>
      <c r="B744" t="s">
        <v>31</v>
      </c>
      <c r="C744" t="str">
        <f t="shared" si="22"/>
        <v>Single</v>
      </c>
      <c r="D744" t="s">
        <v>30</v>
      </c>
      <c r="E744" t="str">
        <f t="shared" si="23"/>
        <v>Male</v>
      </c>
      <c r="F744" s="2">
        <v>30000</v>
      </c>
      <c r="G744">
        <v>0</v>
      </c>
      <c r="H744" t="s">
        <v>24</v>
      </c>
      <c r="I744" t="s">
        <v>12</v>
      </c>
      <c r="J744" t="s">
        <v>13</v>
      </c>
      <c r="K744">
        <v>2</v>
      </c>
      <c r="L744" t="s">
        <v>20</v>
      </c>
      <c r="M744" t="s">
        <v>28</v>
      </c>
      <c r="N744" s="2">
        <v>30</v>
      </c>
      <c r="O744" t="str" cm="1">
        <f t="array" ref="O744">_xlfn.IFS(
  AND(BikePurchase[[#This Row],[Age]]&gt;=18, BikePurchase[[#This Row],[Age]]&lt;=30), "Adolescent",
  AND(BikePurchase[[#This Row],[Age]]&gt;30, BikePurchase[[#This Row],[Age]]&lt;55), "Middle Aged",
  AND(BikePurchase[[#This Row],[Age]]&gt;=55, BikePurchase[[#This Row],[Age]]&lt;90), "Old",
  TRUE, "Invalid"
)</f>
        <v>Adolescent</v>
      </c>
      <c r="P744" t="s">
        <v>15</v>
      </c>
      <c r="Q744" t="str">
        <f>IF(BikePurchase[[#This Row],[Purchased BikeX]]="No","Not Purchased","Purchased")</f>
        <v>Not Purchased</v>
      </c>
    </row>
    <row r="745" spans="1:17" x14ac:dyDescent="0.3">
      <c r="A745">
        <v>13296</v>
      </c>
      <c r="B745" t="s">
        <v>30</v>
      </c>
      <c r="C745" t="str">
        <f t="shared" si="22"/>
        <v>Married</v>
      </c>
      <c r="D745" t="s">
        <v>30</v>
      </c>
      <c r="E745" t="str">
        <f t="shared" si="23"/>
        <v>Male</v>
      </c>
      <c r="F745" s="2">
        <v>110000</v>
      </c>
      <c r="G745">
        <v>1</v>
      </c>
      <c r="H745" t="s">
        <v>11</v>
      </c>
      <c r="I745" t="s">
        <v>25</v>
      </c>
      <c r="J745" t="s">
        <v>13</v>
      </c>
      <c r="K745">
        <v>3</v>
      </c>
      <c r="L745" t="s">
        <v>20</v>
      </c>
      <c r="M745" t="s">
        <v>28</v>
      </c>
      <c r="N745" s="2">
        <v>45</v>
      </c>
      <c r="O745" t="str" cm="1">
        <f t="array" ref="O745">_xlfn.IFS(
  AND(BikePurchase[[#This Row],[Age]]&gt;=18, BikePurchase[[#This Row],[Age]]&lt;=30), "Adolescent",
  AND(BikePurchase[[#This Row],[Age]]&gt;30, BikePurchase[[#This Row],[Age]]&lt;55), "Middle Aged",
  AND(BikePurchase[[#This Row],[Age]]&gt;=55, BikePurchase[[#This Row],[Age]]&lt;90), "Old",
  TRUE, "Invalid"
)</f>
        <v>Middle Aged</v>
      </c>
      <c r="P745" t="s">
        <v>15</v>
      </c>
      <c r="Q745" t="str">
        <f>IF(BikePurchase[[#This Row],[Purchased BikeX]]="No","Not Purchased","Purchased")</f>
        <v>Not Purchased</v>
      </c>
    </row>
    <row r="746" spans="1:17" x14ac:dyDescent="0.3">
      <c r="A746">
        <v>20535</v>
      </c>
      <c r="B746" t="s">
        <v>30</v>
      </c>
      <c r="C746" t="str">
        <f t="shared" si="22"/>
        <v>Married</v>
      </c>
      <c r="D746" t="s">
        <v>29</v>
      </c>
      <c r="E746" t="str">
        <f t="shared" si="23"/>
        <v>Female</v>
      </c>
      <c r="F746" s="2">
        <v>70000</v>
      </c>
      <c r="G746">
        <v>4</v>
      </c>
      <c r="H746" t="s">
        <v>16</v>
      </c>
      <c r="I746" t="s">
        <v>18</v>
      </c>
      <c r="J746" t="s">
        <v>13</v>
      </c>
      <c r="K746">
        <v>1</v>
      </c>
      <c r="L746" t="s">
        <v>48</v>
      </c>
      <c r="M746" t="s">
        <v>28</v>
      </c>
      <c r="N746" s="2">
        <v>56</v>
      </c>
      <c r="O746" t="str" cm="1">
        <f t="array" ref="O746">_xlfn.IFS(
  AND(BikePurchase[[#This Row],[Age]]&gt;=18, BikePurchase[[#This Row],[Age]]&lt;=30), "Adolescent",
  AND(BikePurchase[[#This Row],[Age]]&gt;30, BikePurchase[[#This Row],[Age]]&lt;55), "Middle Aged",
  AND(BikePurchase[[#This Row],[Age]]&gt;=55, BikePurchase[[#This Row],[Age]]&lt;90), "Old",
  TRUE, "Invalid"
)</f>
        <v>Old</v>
      </c>
      <c r="P746" t="s">
        <v>15</v>
      </c>
      <c r="Q746" t="str">
        <f>IF(BikePurchase[[#This Row],[Purchased BikeX]]="No","Not Purchased","Purchased")</f>
        <v>Not Purchased</v>
      </c>
    </row>
    <row r="747" spans="1:17" x14ac:dyDescent="0.3">
      <c r="A747">
        <v>12452</v>
      </c>
      <c r="B747" t="s">
        <v>30</v>
      </c>
      <c r="C747" t="str">
        <f t="shared" si="22"/>
        <v>Married</v>
      </c>
      <c r="D747" t="s">
        <v>30</v>
      </c>
      <c r="E747" t="str">
        <f t="shared" si="23"/>
        <v>Male</v>
      </c>
      <c r="F747" s="2">
        <v>60000</v>
      </c>
      <c r="G747">
        <v>4</v>
      </c>
      <c r="H747" t="s">
        <v>27</v>
      </c>
      <c r="I747" t="s">
        <v>12</v>
      </c>
      <c r="J747" t="s">
        <v>13</v>
      </c>
      <c r="K747">
        <v>0</v>
      </c>
      <c r="L747" t="s">
        <v>23</v>
      </c>
      <c r="M747" t="s">
        <v>28</v>
      </c>
      <c r="N747" s="2">
        <v>47</v>
      </c>
      <c r="O747" t="str" cm="1">
        <f t="array" ref="O747">_xlfn.IFS(
  AND(BikePurchase[[#This Row],[Age]]&gt;=18, BikePurchase[[#This Row],[Age]]&lt;=30), "Adolescent",
  AND(BikePurchase[[#This Row],[Age]]&gt;30, BikePurchase[[#This Row],[Age]]&lt;55), "Middle Aged",
  AND(BikePurchase[[#This Row],[Age]]&gt;=55, BikePurchase[[#This Row],[Age]]&lt;90), "Old",
  TRUE, "Invalid"
)</f>
        <v>Middle Aged</v>
      </c>
      <c r="P747" t="s">
        <v>13</v>
      </c>
      <c r="Q747" t="str">
        <f>IF(BikePurchase[[#This Row],[Purchased BikeX]]="No","Not Purchased","Purchased")</f>
        <v>Purchased</v>
      </c>
    </row>
    <row r="748" spans="1:17" x14ac:dyDescent="0.3">
      <c r="A748">
        <v>28043</v>
      </c>
      <c r="B748" t="s">
        <v>30</v>
      </c>
      <c r="C748" t="str">
        <f t="shared" si="22"/>
        <v>Married</v>
      </c>
      <c r="D748" t="s">
        <v>29</v>
      </c>
      <c r="E748" t="str">
        <f t="shared" si="23"/>
        <v>Female</v>
      </c>
      <c r="F748" s="2">
        <v>60000</v>
      </c>
      <c r="G748">
        <v>2</v>
      </c>
      <c r="H748" t="s">
        <v>11</v>
      </c>
      <c r="I748" t="s">
        <v>25</v>
      </c>
      <c r="J748" t="s">
        <v>13</v>
      </c>
      <c r="K748">
        <v>0</v>
      </c>
      <c r="L748" t="s">
        <v>48</v>
      </c>
      <c r="M748" t="s">
        <v>28</v>
      </c>
      <c r="N748" s="2">
        <v>56</v>
      </c>
      <c r="O748" t="str" cm="1">
        <f t="array" ref="O748">_xlfn.IFS(
  AND(BikePurchase[[#This Row],[Age]]&gt;=18, BikePurchase[[#This Row],[Age]]&lt;=30), "Adolescent",
  AND(BikePurchase[[#This Row],[Age]]&gt;30, BikePurchase[[#This Row],[Age]]&lt;55), "Middle Aged",
  AND(BikePurchase[[#This Row],[Age]]&gt;=55, BikePurchase[[#This Row],[Age]]&lt;90), "Old",
  TRUE, "Invalid"
)</f>
        <v>Old</v>
      </c>
      <c r="P748" t="s">
        <v>15</v>
      </c>
      <c r="Q748" t="str">
        <f>IF(BikePurchase[[#This Row],[Purchased BikeX]]="No","Not Purchased","Purchased")</f>
        <v>Not Purchased</v>
      </c>
    </row>
    <row r="749" spans="1:17" x14ac:dyDescent="0.3">
      <c r="A749">
        <v>12957</v>
      </c>
      <c r="B749" t="s">
        <v>31</v>
      </c>
      <c r="C749" t="str">
        <f t="shared" si="22"/>
        <v>Single</v>
      </c>
      <c r="D749" t="s">
        <v>29</v>
      </c>
      <c r="E749" t="str">
        <f t="shared" si="23"/>
        <v>Female</v>
      </c>
      <c r="F749" s="2">
        <v>70000</v>
      </c>
      <c r="G749">
        <v>1</v>
      </c>
      <c r="H749" t="s">
        <v>11</v>
      </c>
      <c r="I749" t="s">
        <v>18</v>
      </c>
      <c r="J749" t="s">
        <v>15</v>
      </c>
      <c r="K749">
        <v>1</v>
      </c>
      <c r="L749" t="s">
        <v>35</v>
      </c>
      <c r="M749" t="s">
        <v>28</v>
      </c>
      <c r="N749" s="2">
        <v>44</v>
      </c>
      <c r="O749" t="str" cm="1">
        <f t="array" ref="O749">_xlfn.IFS(
  AND(BikePurchase[[#This Row],[Age]]&gt;=18, BikePurchase[[#This Row],[Age]]&lt;=30), "Adolescent",
  AND(BikePurchase[[#This Row],[Age]]&gt;30, BikePurchase[[#This Row],[Age]]&lt;55), "Middle Aged",
  AND(BikePurchase[[#This Row],[Age]]&gt;=55, BikePurchase[[#This Row],[Age]]&lt;90), "Old",
  TRUE, "Invalid"
)</f>
        <v>Middle Aged</v>
      </c>
      <c r="P749" t="s">
        <v>15</v>
      </c>
      <c r="Q749" t="str">
        <f>IF(BikePurchase[[#This Row],[Purchased BikeX]]="No","Not Purchased","Purchased")</f>
        <v>Not Purchased</v>
      </c>
    </row>
    <row r="750" spans="1:17" x14ac:dyDescent="0.3">
      <c r="A750">
        <v>15412</v>
      </c>
      <c r="B750" t="s">
        <v>30</v>
      </c>
      <c r="C750" t="str">
        <f t="shared" si="22"/>
        <v>Married</v>
      </c>
      <c r="D750" t="s">
        <v>30</v>
      </c>
      <c r="E750" t="str">
        <f t="shared" si="23"/>
        <v>Male</v>
      </c>
      <c r="F750" s="2">
        <v>130000</v>
      </c>
      <c r="G750">
        <v>2</v>
      </c>
      <c r="H750" t="s">
        <v>27</v>
      </c>
      <c r="I750" t="s">
        <v>25</v>
      </c>
      <c r="J750" t="s">
        <v>13</v>
      </c>
      <c r="K750">
        <v>3</v>
      </c>
      <c r="L750" t="s">
        <v>19</v>
      </c>
      <c r="M750" t="s">
        <v>28</v>
      </c>
      <c r="N750" s="2">
        <v>69</v>
      </c>
      <c r="O750" t="str" cm="1">
        <f t="array" ref="O750">_xlfn.IFS(
  AND(BikePurchase[[#This Row],[Age]]&gt;=18, BikePurchase[[#This Row],[Age]]&lt;=30), "Adolescent",
  AND(BikePurchase[[#This Row],[Age]]&gt;30, BikePurchase[[#This Row],[Age]]&lt;55), "Middle Aged",
  AND(BikePurchase[[#This Row],[Age]]&gt;=55, BikePurchase[[#This Row],[Age]]&lt;90), "Old",
  TRUE, "Invalid"
)</f>
        <v>Old</v>
      </c>
      <c r="P750" t="s">
        <v>15</v>
      </c>
      <c r="Q750" t="str">
        <f>IF(BikePurchase[[#This Row],[Purchased BikeX]]="No","Not Purchased","Purchased")</f>
        <v>Not Purchased</v>
      </c>
    </row>
    <row r="751" spans="1:17" x14ac:dyDescent="0.3">
      <c r="A751">
        <v>20514</v>
      </c>
      <c r="B751" t="s">
        <v>30</v>
      </c>
      <c r="C751" t="str">
        <f t="shared" si="22"/>
        <v>Married</v>
      </c>
      <c r="D751" t="s">
        <v>29</v>
      </c>
      <c r="E751" t="str">
        <f t="shared" si="23"/>
        <v>Female</v>
      </c>
      <c r="F751" s="2">
        <v>70000</v>
      </c>
      <c r="G751">
        <v>2</v>
      </c>
      <c r="H751" t="s">
        <v>16</v>
      </c>
      <c r="I751" t="s">
        <v>18</v>
      </c>
      <c r="J751" t="s">
        <v>13</v>
      </c>
      <c r="K751">
        <v>1</v>
      </c>
      <c r="L751" t="s">
        <v>19</v>
      </c>
      <c r="M751" t="s">
        <v>28</v>
      </c>
      <c r="N751" s="2">
        <v>59</v>
      </c>
      <c r="O751" t="str" cm="1">
        <f t="array" ref="O751">_xlfn.IFS(
  AND(BikePurchase[[#This Row],[Age]]&gt;=18, BikePurchase[[#This Row],[Age]]&lt;=30), "Adolescent",
  AND(BikePurchase[[#This Row],[Age]]&gt;30, BikePurchase[[#This Row],[Age]]&lt;55), "Middle Aged",
  AND(BikePurchase[[#This Row],[Age]]&gt;=55, BikePurchase[[#This Row],[Age]]&lt;90), "Old",
  TRUE, "Invalid"
)</f>
        <v>Old</v>
      </c>
      <c r="P751" t="s">
        <v>15</v>
      </c>
      <c r="Q751" t="str">
        <f>IF(BikePurchase[[#This Row],[Purchased BikeX]]="No","Not Purchased","Purchased")</f>
        <v>Not Purchased</v>
      </c>
    </row>
    <row r="752" spans="1:17" x14ac:dyDescent="0.3">
      <c r="A752">
        <v>20758</v>
      </c>
      <c r="B752" t="s">
        <v>30</v>
      </c>
      <c r="C752" t="str">
        <f t="shared" si="22"/>
        <v>Married</v>
      </c>
      <c r="D752" t="s">
        <v>30</v>
      </c>
      <c r="E752" t="str">
        <f t="shared" si="23"/>
        <v>Male</v>
      </c>
      <c r="F752" s="2">
        <v>30000</v>
      </c>
      <c r="G752">
        <v>2</v>
      </c>
      <c r="H752" t="s">
        <v>24</v>
      </c>
      <c r="I752" t="s">
        <v>12</v>
      </c>
      <c r="J752" t="s">
        <v>13</v>
      </c>
      <c r="K752">
        <v>2</v>
      </c>
      <c r="L752" t="s">
        <v>23</v>
      </c>
      <c r="M752" t="s">
        <v>28</v>
      </c>
      <c r="N752" s="2">
        <v>50</v>
      </c>
      <c r="O752" t="str" cm="1">
        <f t="array" ref="O752">_xlfn.IFS(
  AND(BikePurchase[[#This Row],[Age]]&gt;=18, BikePurchase[[#This Row],[Age]]&lt;=30), "Adolescent",
  AND(BikePurchase[[#This Row],[Age]]&gt;30, BikePurchase[[#This Row],[Age]]&lt;55), "Middle Aged",
  AND(BikePurchase[[#This Row],[Age]]&gt;=55, BikePurchase[[#This Row],[Age]]&lt;90), "Old",
  TRUE, "Invalid"
)</f>
        <v>Middle Aged</v>
      </c>
      <c r="P752" t="s">
        <v>15</v>
      </c>
      <c r="Q752" t="str">
        <f>IF(BikePurchase[[#This Row],[Purchased BikeX]]="No","Not Purchased","Purchased")</f>
        <v>Not Purchased</v>
      </c>
    </row>
    <row r="753" spans="1:17" x14ac:dyDescent="0.3">
      <c r="A753">
        <v>11801</v>
      </c>
      <c r="B753" t="s">
        <v>30</v>
      </c>
      <c r="C753" t="str">
        <f t="shared" si="22"/>
        <v>Married</v>
      </c>
      <c r="D753" t="s">
        <v>30</v>
      </c>
      <c r="E753" t="str">
        <f t="shared" si="23"/>
        <v>Male</v>
      </c>
      <c r="F753" s="2">
        <v>60000</v>
      </c>
      <c r="G753">
        <v>1</v>
      </c>
      <c r="H753" t="s">
        <v>27</v>
      </c>
      <c r="I753" t="s">
        <v>18</v>
      </c>
      <c r="J753" t="s">
        <v>13</v>
      </c>
      <c r="K753">
        <v>0</v>
      </c>
      <c r="L753" t="s">
        <v>19</v>
      </c>
      <c r="M753" t="s">
        <v>28</v>
      </c>
      <c r="N753" s="2">
        <v>36</v>
      </c>
      <c r="O753" t="str" cm="1">
        <f t="array" ref="O753">_xlfn.IFS(
  AND(BikePurchase[[#This Row],[Age]]&gt;=18, BikePurchase[[#This Row],[Age]]&lt;=30), "Adolescent",
  AND(BikePurchase[[#This Row],[Age]]&gt;30, BikePurchase[[#This Row],[Age]]&lt;55), "Middle Aged",
  AND(BikePurchase[[#This Row],[Age]]&gt;=55, BikePurchase[[#This Row],[Age]]&lt;90), "Old",
  TRUE, "Invalid"
)</f>
        <v>Middle Aged</v>
      </c>
      <c r="P753" t="s">
        <v>15</v>
      </c>
      <c r="Q753" t="str">
        <f>IF(BikePurchase[[#This Row],[Purchased BikeX]]="No","Not Purchased","Purchased")</f>
        <v>Not Purchased</v>
      </c>
    </row>
    <row r="754" spans="1:17" x14ac:dyDescent="0.3">
      <c r="A754">
        <v>22211</v>
      </c>
      <c r="B754" t="s">
        <v>30</v>
      </c>
      <c r="C754" t="str">
        <f t="shared" si="22"/>
        <v>Married</v>
      </c>
      <c r="D754" t="s">
        <v>30</v>
      </c>
      <c r="E754" t="str">
        <f t="shared" si="23"/>
        <v>Male</v>
      </c>
      <c r="F754" s="2">
        <v>60000</v>
      </c>
      <c r="G754">
        <v>0</v>
      </c>
      <c r="H754" t="s">
        <v>16</v>
      </c>
      <c r="I754" t="s">
        <v>18</v>
      </c>
      <c r="J754" t="s">
        <v>13</v>
      </c>
      <c r="K754">
        <v>2</v>
      </c>
      <c r="L754" t="s">
        <v>20</v>
      </c>
      <c r="M754" t="s">
        <v>28</v>
      </c>
      <c r="N754" s="2">
        <v>32</v>
      </c>
      <c r="O754" t="str" cm="1">
        <f t="array" ref="O754">_xlfn.IFS(
  AND(BikePurchase[[#This Row],[Age]]&gt;=18, BikePurchase[[#This Row],[Age]]&lt;=30), "Adolescent",
  AND(BikePurchase[[#This Row],[Age]]&gt;30, BikePurchase[[#This Row],[Age]]&lt;55), "Middle Aged",
  AND(BikePurchase[[#This Row],[Age]]&gt;=55, BikePurchase[[#This Row],[Age]]&lt;90), "Old",
  TRUE, "Invalid"
)</f>
        <v>Middle Aged</v>
      </c>
      <c r="P754" t="s">
        <v>15</v>
      </c>
      <c r="Q754" t="str">
        <f>IF(BikePurchase[[#This Row],[Purchased BikeX]]="No","Not Purchased","Purchased")</f>
        <v>Not Purchased</v>
      </c>
    </row>
    <row r="755" spans="1:17" x14ac:dyDescent="0.3">
      <c r="A755">
        <v>28087</v>
      </c>
      <c r="B755" t="s">
        <v>31</v>
      </c>
      <c r="C755" t="str">
        <f t="shared" si="22"/>
        <v>Single</v>
      </c>
      <c r="D755" t="s">
        <v>29</v>
      </c>
      <c r="E755" t="str">
        <f t="shared" si="23"/>
        <v>Female</v>
      </c>
      <c r="F755" s="2">
        <v>40000</v>
      </c>
      <c r="G755">
        <v>0</v>
      </c>
      <c r="H755" t="s">
        <v>16</v>
      </c>
      <c r="I755" t="s">
        <v>12</v>
      </c>
      <c r="J755" t="s">
        <v>15</v>
      </c>
      <c r="K755">
        <v>1</v>
      </c>
      <c r="L755" t="s">
        <v>23</v>
      </c>
      <c r="M755" t="s">
        <v>28</v>
      </c>
      <c r="N755" s="2">
        <v>27</v>
      </c>
      <c r="O755" t="str" cm="1">
        <f t="array" ref="O755">_xlfn.IFS(
  AND(BikePurchase[[#This Row],[Age]]&gt;=18, BikePurchase[[#This Row],[Age]]&lt;=30), "Adolescent",
  AND(BikePurchase[[#This Row],[Age]]&gt;30, BikePurchase[[#This Row],[Age]]&lt;55), "Middle Aged",
  AND(BikePurchase[[#This Row],[Age]]&gt;=55, BikePurchase[[#This Row],[Age]]&lt;90), "Old",
  TRUE, "Invalid"
)</f>
        <v>Adolescent</v>
      </c>
      <c r="P755" t="s">
        <v>15</v>
      </c>
      <c r="Q755" t="str">
        <f>IF(BikePurchase[[#This Row],[Purchased BikeX]]="No","Not Purchased","Purchased")</f>
        <v>Not Purchased</v>
      </c>
    </row>
    <row r="756" spans="1:17" x14ac:dyDescent="0.3">
      <c r="A756">
        <v>23668</v>
      </c>
      <c r="B756" t="s">
        <v>30</v>
      </c>
      <c r="C756" t="str">
        <f t="shared" si="22"/>
        <v>Married</v>
      </c>
      <c r="D756" t="s">
        <v>29</v>
      </c>
      <c r="E756" t="str">
        <f t="shared" si="23"/>
        <v>Female</v>
      </c>
      <c r="F756" s="2">
        <v>40000</v>
      </c>
      <c r="G756">
        <v>4</v>
      </c>
      <c r="H756" t="s">
        <v>24</v>
      </c>
      <c r="I756" t="s">
        <v>18</v>
      </c>
      <c r="J756" t="s">
        <v>13</v>
      </c>
      <c r="K756">
        <v>2</v>
      </c>
      <c r="L756" t="s">
        <v>20</v>
      </c>
      <c r="M756" t="s">
        <v>28</v>
      </c>
      <c r="N756" s="2">
        <v>59</v>
      </c>
      <c r="O756" t="str" cm="1">
        <f t="array" ref="O756">_xlfn.IFS(
  AND(BikePurchase[[#This Row],[Age]]&gt;=18, BikePurchase[[#This Row],[Age]]&lt;=30), "Adolescent",
  AND(BikePurchase[[#This Row],[Age]]&gt;30, BikePurchase[[#This Row],[Age]]&lt;55), "Middle Aged",
  AND(BikePurchase[[#This Row],[Age]]&gt;=55, BikePurchase[[#This Row],[Age]]&lt;90), "Old",
  TRUE, "Invalid"
)</f>
        <v>Old</v>
      </c>
      <c r="P756" t="s">
        <v>13</v>
      </c>
      <c r="Q756" t="str">
        <f>IF(BikePurchase[[#This Row],[Purchased BikeX]]="No","Not Purchased","Purchased")</f>
        <v>Purchased</v>
      </c>
    </row>
    <row r="757" spans="1:17" x14ac:dyDescent="0.3">
      <c r="A757">
        <v>27441</v>
      </c>
      <c r="B757" t="s">
        <v>30</v>
      </c>
      <c r="C757" t="str">
        <f t="shared" si="22"/>
        <v>Married</v>
      </c>
      <c r="D757" t="s">
        <v>30</v>
      </c>
      <c r="E757" t="str">
        <f t="shared" si="23"/>
        <v>Male</v>
      </c>
      <c r="F757" s="2">
        <v>60000</v>
      </c>
      <c r="G757">
        <v>3</v>
      </c>
      <c r="H757" t="s">
        <v>24</v>
      </c>
      <c r="I757" t="s">
        <v>18</v>
      </c>
      <c r="J757" t="s">
        <v>15</v>
      </c>
      <c r="K757">
        <v>2</v>
      </c>
      <c r="L757" t="s">
        <v>19</v>
      </c>
      <c r="M757" t="s">
        <v>28</v>
      </c>
      <c r="N757" s="2">
        <v>53</v>
      </c>
      <c r="O757" t="str" cm="1">
        <f t="array" ref="O757">_xlfn.IFS(
  AND(BikePurchase[[#This Row],[Age]]&gt;=18, BikePurchase[[#This Row],[Age]]&lt;=30), "Adolescent",
  AND(BikePurchase[[#This Row],[Age]]&gt;30, BikePurchase[[#This Row],[Age]]&lt;55), "Middle Aged",
  AND(BikePurchase[[#This Row],[Age]]&gt;=55, BikePurchase[[#This Row],[Age]]&lt;90), "Old",
  TRUE, "Invalid"
)</f>
        <v>Middle Aged</v>
      </c>
      <c r="P757" t="s">
        <v>15</v>
      </c>
      <c r="Q757" t="str">
        <f>IF(BikePurchase[[#This Row],[Purchased BikeX]]="No","Not Purchased","Purchased")</f>
        <v>Not Purchased</v>
      </c>
    </row>
    <row r="758" spans="1:17" x14ac:dyDescent="0.3">
      <c r="A758">
        <v>27261</v>
      </c>
      <c r="B758" t="s">
        <v>30</v>
      </c>
      <c r="C758" t="str">
        <f t="shared" si="22"/>
        <v>Married</v>
      </c>
      <c r="D758" t="s">
        <v>30</v>
      </c>
      <c r="E758" t="str">
        <f t="shared" si="23"/>
        <v>Male</v>
      </c>
      <c r="F758" s="2">
        <v>40000</v>
      </c>
      <c r="G758">
        <v>1</v>
      </c>
      <c r="H758" t="s">
        <v>11</v>
      </c>
      <c r="I758" t="s">
        <v>12</v>
      </c>
      <c r="J758" t="s">
        <v>15</v>
      </c>
      <c r="K758">
        <v>1</v>
      </c>
      <c r="L758" t="s">
        <v>35</v>
      </c>
      <c r="M758" t="s">
        <v>28</v>
      </c>
      <c r="N758" s="2">
        <v>36</v>
      </c>
      <c r="O758" t="str" cm="1">
        <f t="array" ref="O758">_xlfn.IFS(
  AND(BikePurchase[[#This Row],[Age]]&gt;=18, BikePurchase[[#This Row],[Age]]&lt;=30), "Adolescent",
  AND(BikePurchase[[#This Row],[Age]]&gt;30, BikePurchase[[#This Row],[Age]]&lt;55), "Middle Aged",
  AND(BikePurchase[[#This Row],[Age]]&gt;=55, BikePurchase[[#This Row],[Age]]&lt;90), "Old",
  TRUE, "Invalid"
)</f>
        <v>Middle Aged</v>
      </c>
      <c r="P758" t="s">
        <v>13</v>
      </c>
      <c r="Q758" t="str">
        <f>IF(BikePurchase[[#This Row],[Purchased BikeX]]="No","Not Purchased","Purchased")</f>
        <v>Purchased</v>
      </c>
    </row>
    <row r="759" spans="1:17" x14ac:dyDescent="0.3">
      <c r="A759">
        <v>18649</v>
      </c>
      <c r="B759" t="s">
        <v>31</v>
      </c>
      <c r="C759" t="str">
        <f t="shared" si="22"/>
        <v>Single</v>
      </c>
      <c r="D759" t="s">
        <v>30</v>
      </c>
      <c r="E759" t="str">
        <f t="shared" si="23"/>
        <v>Male</v>
      </c>
      <c r="F759" s="2">
        <v>30000</v>
      </c>
      <c r="G759">
        <v>1</v>
      </c>
      <c r="H759" t="s">
        <v>24</v>
      </c>
      <c r="I759" t="s">
        <v>17</v>
      </c>
      <c r="J759" t="s">
        <v>13</v>
      </c>
      <c r="K759">
        <v>2</v>
      </c>
      <c r="L759" t="s">
        <v>23</v>
      </c>
      <c r="M759" t="s">
        <v>28</v>
      </c>
      <c r="N759" s="2">
        <v>51</v>
      </c>
      <c r="O759" t="str" cm="1">
        <f t="array" ref="O759">_xlfn.IFS(
  AND(BikePurchase[[#This Row],[Age]]&gt;=18, BikePurchase[[#This Row],[Age]]&lt;=30), "Adolescent",
  AND(BikePurchase[[#This Row],[Age]]&gt;30, BikePurchase[[#This Row],[Age]]&lt;55), "Middle Aged",
  AND(BikePurchase[[#This Row],[Age]]&gt;=55, BikePurchase[[#This Row],[Age]]&lt;90), "Old",
  TRUE, "Invalid"
)</f>
        <v>Middle Aged</v>
      </c>
      <c r="P759" t="s">
        <v>13</v>
      </c>
      <c r="Q759" t="str">
        <f>IF(BikePurchase[[#This Row],[Purchased BikeX]]="No","Not Purchased","Purchased")</f>
        <v>Purchased</v>
      </c>
    </row>
    <row r="760" spans="1:17" x14ac:dyDescent="0.3">
      <c r="A760">
        <v>21714</v>
      </c>
      <c r="B760" t="s">
        <v>31</v>
      </c>
      <c r="C760" t="str">
        <f t="shared" si="22"/>
        <v>Single</v>
      </c>
      <c r="D760" t="s">
        <v>29</v>
      </c>
      <c r="E760" t="str">
        <f t="shared" si="23"/>
        <v>Female</v>
      </c>
      <c r="F760" s="2">
        <v>80000</v>
      </c>
      <c r="G760">
        <v>5</v>
      </c>
      <c r="H760" t="s">
        <v>27</v>
      </c>
      <c r="I760" t="s">
        <v>12</v>
      </c>
      <c r="J760" t="s">
        <v>15</v>
      </c>
      <c r="K760">
        <v>0</v>
      </c>
      <c r="L760" t="s">
        <v>35</v>
      </c>
      <c r="M760" t="s">
        <v>28</v>
      </c>
      <c r="N760" s="2">
        <v>47</v>
      </c>
      <c r="O760" t="str" cm="1">
        <f t="array" ref="O760">_xlfn.IFS(
  AND(BikePurchase[[#This Row],[Age]]&gt;=18, BikePurchase[[#This Row],[Age]]&lt;=30), "Adolescent",
  AND(BikePurchase[[#This Row],[Age]]&gt;30, BikePurchase[[#This Row],[Age]]&lt;55), "Middle Aged",
  AND(BikePurchase[[#This Row],[Age]]&gt;=55, BikePurchase[[#This Row],[Age]]&lt;90), "Old",
  TRUE, "Invalid"
)</f>
        <v>Middle Aged</v>
      </c>
      <c r="P760" t="s">
        <v>15</v>
      </c>
      <c r="Q760" t="str">
        <f>IF(BikePurchase[[#This Row],[Purchased BikeX]]="No","Not Purchased","Purchased")</f>
        <v>Not Purchased</v>
      </c>
    </row>
    <row r="761" spans="1:17" x14ac:dyDescent="0.3">
      <c r="A761">
        <v>23217</v>
      </c>
      <c r="B761" t="s">
        <v>31</v>
      </c>
      <c r="C761" t="str">
        <f t="shared" si="22"/>
        <v>Single</v>
      </c>
      <c r="D761" t="s">
        <v>29</v>
      </c>
      <c r="E761" t="str">
        <f t="shared" si="23"/>
        <v>Female</v>
      </c>
      <c r="F761" s="2">
        <v>60000</v>
      </c>
      <c r="G761">
        <v>3</v>
      </c>
      <c r="H761" t="s">
        <v>27</v>
      </c>
      <c r="I761" t="s">
        <v>18</v>
      </c>
      <c r="J761" t="s">
        <v>13</v>
      </c>
      <c r="K761">
        <v>0</v>
      </c>
      <c r="L761" t="s">
        <v>19</v>
      </c>
      <c r="M761" t="s">
        <v>28</v>
      </c>
      <c r="N761" s="2">
        <v>43</v>
      </c>
      <c r="O761" t="str" cm="1">
        <f t="array" ref="O761">_xlfn.IFS(
  AND(BikePurchase[[#This Row],[Age]]&gt;=18, BikePurchase[[#This Row],[Age]]&lt;=30), "Adolescent",
  AND(BikePurchase[[#This Row],[Age]]&gt;30, BikePurchase[[#This Row],[Age]]&lt;55), "Middle Aged",
  AND(BikePurchase[[#This Row],[Age]]&gt;=55, BikePurchase[[#This Row],[Age]]&lt;90), "Old",
  TRUE, "Invalid"
)</f>
        <v>Middle Aged</v>
      </c>
      <c r="P761" t="s">
        <v>13</v>
      </c>
      <c r="Q761" t="str">
        <f>IF(BikePurchase[[#This Row],[Purchased BikeX]]="No","Not Purchased","Purchased")</f>
        <v>Purchased</v>
      </c>
    </row>
    <row r="762" spans="1:17" x14ac:dyDescent="0.3">
      <c r="A762">
        <v>23797</v>
      </c>
      <c r="B762" t="s">
        <v>31</v>
      </c>
      <c r="C762" t="str">
        <f t="shared" si="22"/>
        <v>Single</v>
      </c>
      <c r="D762" t="s">
        <v>30</v>
      </c>
      <c r="E762" t="str">
        <f t="shared" si="23"/>
        <v>Male</v>
      </c>
      <c r="F762" s="2">
        <v>20000</v>
      </c>
      <c r="G762">
        <v>3</v>
      </c>
      <c r="H762" t="s">
        <v>26</v>
      </c>
      <c r="I762" t="s">
        <v>17</v>
      </c>
      <c r="J762" t="s">
        <v>15</v>
      </c>
      <c r="K762">
        <v>2</v>
      </c>
      <c r="L762" t="s">
        <v>35</v>
      </c>
      <c r="M762" t="s">
        <v>28</v>
      </c>
      <c r="N762" s="2">
        <v>50</v>
      </c>
      <c r="O762" t="str" cm="1">
        <f t="array" ref="O762">_xlfn.IFS(
  AND(BikePurchase[[#This Row],[Age]]&gt;=18, BikePurchase[[#This Row],[Age]]&lt;=30), "Adolescent",
  AND(BikePurchase[[#This Row],[Age]]&gt;30, BikePurchase[[#This Row],[Age]]&lt;55), "Middle Aged",
  AND(BikePurchase[[#This Row],[Age]]&gt;=55, BikePurchase[[#This Row],[Age]]&lt;90), "Old",
  TRUE, "Invalid"
)</f>
        <v>Middle Aged</v>
      </c>
      <c r="P762" t="s">
        <v>15</v>
      </c>
      <c r="Q762" t="str">
        <f>IF(BikePurchase[[#This Row],[Purchased BikeX]]="No","Not Purchased","Purchased")</f>
        <v>Not Purchased</v>
      </c>
    </row>
    <row r="763" spans="1:17" x14ac:dyDescent="0.3">
      <c r="A763">
        <v>13216</v>
      </c>
      <c r="B763" t="s">
        <v>30</v>
      </c>
      <c r="C763" t="str">
        <f t="shared" si="22"/>
        <v>Married</v>
      </c>
      <c r="D763" t="s">
        <v>29</v>
      </c>
      <c r="E763" t="str">
        <f t="shared" si="23"/>
        <v>Female</v>
      </c>
      <c r="F763" s="2">
        <v>60000</v>
      </c>
      <c r="G763">
        <v>5</v>
      </c>
      <c r="H763" t="s">
        <v>11</v>
      </c>
      <c r="I763" t="s">
        <v>25</v>
      </c>
      <c r="J763" t="s">
        <v>13</v>
      </c>
      <c r="K763">
        <v>3</v>
      </c>
      <c r="L763" t="s">
        <v>48</v>
      </c>
      <c r="M763" t="s">
        <v>28</v>
      </c>
      <c r="N763" s="2">
        <v>59</v>
      </c>
      <c r="O763" t="str" cm="1">
        <f t="array" ref="O763">_xlfn.IFS(
  AND(BikePurchase[[#This Row],[Age]]&gt;=18, BikePurchase[[#This Row],[Age]]&lt;=30), "Adolescent",
  AND(BikePurchase[[#This Row],[Age]]&gt;30, BikePurchase[[#This Row],[Age]]&lt;55), "Middle Aged",
  AND(BikePurchase[[#This Row],[Age]]&gt;=55, BikePurchase[[#This Row],[Age]]&lt;90), "Old",
  TRUE, "Invalid"
)</f>
        <v>Old</v>
      </c>
      <c r="P763" t="s">
        <v>15</v>
      </c>
      <c r="Q763" t="str">
        <f>IF(BikePurchase[[#This Row],[Purchased BikeX]]="No","Not Purchased","Purchased")</f>
        <v>Not Purchased</v>
      </c>
    </row>
    <row r="764" spans="1:17" x14ac:dyDescent="0.3">
      <c r="A764">
        <v>20657</v>
      </c>
      <c r="B764" t="s">
        <v>31</v>
      </c>
      <c r="C764" t="str">
        <f t="shared" si="22"/>
        <v>Single</v>
      </c>
      <c r="D764" t="s">
        <v>30</v>
      </c>
      <c r="E764" t="str">
        <f t="shared" si="23"/>
        <v>Male</v>
      </c>
      <c r="F764" s="2">
        <v>50000</v>
      </c>
      <c r="G764">
        <v>2</v>
      </c>
      <c r="H764" t="s">
        <v>11</v>
      </c>
      <c r="I764" t="s">
        <v>12</v>
      </c>
      <c r="J764" t="s">
        <v>13</v>
      </c>
      <c r="K764">
        <v>0</v>
      </c>
      <c r="L764" t="s">
        <v>19</v>
      </c>
      <c r="M764" t="s">
        <v>28</v>
      </c>
      <c r="N764" s="2">
        <v>37</v>
      </c>
      <c r="O764" t="str" cm="1">
        <f t="array" ref="O764">_xlfn.IFS(
  AND(BikePurchase[[#This Row],[Age]]&gt;=18, BikePurchase[[#This Row],[Age]]&lt;=30), "Adolescent",
  AND(BikePurchase[[#This Row],[Age]]&gt;30, BikePurchase[[#This Row],[Age]]&lt;55), "Middle Aged",
  AND(BikePurchase[[#This Row],[Age]]&gt;=55, BikePurchase[[#This Row],[Age]]&lt;90), "Old",
  TRUE, "Invalid"
)</f>
        <v>Middle Aged</v>
      </c>
      <c r="P764" t="s">
        <v>13</v>
      </c>
      <c r="Q764" t="str">
        <f>IF(BikePurchase[[#This Row],[Purchased BikeX]]="No","Not Purchased","Purchased")</f>
        <v>Purchased</v>
      </c>
    </row>
    <row r="765" spans="1:17" x14ac:dyDescent="0.3">
      <c r="A765">
        <v>12882</v>
      </c>
      <c r="B765" t="s">
        <v>30</v>
      </c>
      <c r="C765" t="str">
        <f t="shared" si="22"/>
        <v>Married</v>
      </c>
      <c r="D765" t="s">
        <v>30</v>
      </c>
      <c r="E765" t="str">
        <f t="shared" si="23"/>
        <v>Male</v>
      </c>
      <c r="F765" s="2">
        <v>50000</v>
      </c>
      <c r="G765">
        <v>1</v>
      </c>
      <c r="H765" t="s">
        <v>27</v>
      </c>
      <c r="I765" t="s">
        <v>12</v>
      </c>
      <c r="J765" t="s">
        <v>13</v>
      </c>
      <c r="K765">
        <v>0</v>
      </c>
      <c r="L765" t="s">
        <v>35</v>
      </c>
      <c r="M765" t="s">
        <v>28</v>
      </c>
      <c r="N765" s="2">
        <v>33</v>
      </c>
      <c r="O765" t="str" cm="1">
        <f t="array" ref="O765">_xlfn.IFS(
  AND(BikePurchase[[#This Row],[Age]]&gt;=18, BikePurchase[[#This Row],[Age]]&lt;=30), "Adolescent",
  AND(BikePurchase[[#This Row],[Age]]&gt;30, BikePurchase[[#This Row],[Age]]&lt;55), "Middle Aged",
  AND(BikePurchase[[#This Row],[Age]]&gt;=55, BikePurchase[[#This Row],[Age]]&lt;90), "Old",
  TRUE, "Invalid"
)</f>
        <v>Middle Aged</v>
      </c>
      <c r="P765" t="s">
        <v>13</v>
      </c>
      <c r="Q765" t="str">
        <f>IF(BikePurchase[[#This Row],[Purchased BikeX]]="No","Not Purchased","Purchased")</f>
        <v>Purchased</v>
      </c>
    </row>
    <row r="766" spans="1:17" x14ac:dyDescent="0.3">
      <c r="A766">
        <v>25908</v>
      </c>
      <c r="B766" t="s">
        <v>30</v>
      </c>
      <c r="C766" t="str">
        <f t="shared" si="22"/>
        <v>Married</v>
      </c>
      <c r="D766" t="s">
        <v>29</v>
      </c>
      <c r="E766" t="str">
        <f t="shared" si="23"/>
        <v>Female</v>
      </c>
      <c r="F766" s="2">
        <v>60000</v>
      </c>
      <c r="G766">
        <v>0</v>
      </c>
      <c r="H766" t="s">
        <v>16</v>
      </c>
      <c r="I766" t="s">
        <v>12</v>
      </c>
      <c r="J766" t="s">
        <v>15</v>
      </c>
      <c r="K766">
        <v>1</v>
      </c>
      <c r="L766" t="s">
        <v>23</v>
      </c>
      <c r="M766" t="s">
        <v>28</v>
      </c>
      <c r="N766" s="2">
        <v>27</v>
      </c>
      <c r="O766" t="str" cm="1">
        <f t="array" ref="O766">_xlfn.IFS(
  AND(BikePurchase[[#This Row],[Age]]&gt;=18, BikePurchase[[#This Row],[Age]]&lt;=30), "Adolescent",
  AND(BikePurchase[[#This Row],[Age]]&gt;30, BikePurchase[[#This Row],[Age]]&lt;55), "Middle Aged",
  AND(BikePurchase[[#This Row],[Age]]&gt;=55, BikePurchase[[#This Row],[Age]]&lt;90), "Old",
  TRUE, "Invalid"
)</f>
        <v>Adolescent</v>
      </c>
      <c r="P766" t="s">
        <v>15</v>
      </c>
      <c r="Q766" t="str">
        <f>IF(BikePurchase[[#This Row],[Purchased BikeX]]="No","Not Purchased","Purchased")</f>
        <v>Not Purchased</v>
      </c>
    </row>
    <row r="767" spans="1:17" x14ac:dyDescent="0.3">
      <c r="A767">
        <v>16753</v>
      </c>
      <c r="B767" t="s">
        <v>31</v>
      </c>
      <c r="C767" t="str">
        <f t="shared" si="22"/>
        <v>Single</v>
      </c>
      <c r="D767" t="s">
        <v>29</v>
      </c>
      <c r="E767" t="str">
        <f t="shared" si="23"/>
        <v>Female</v>
      </c>
      <c r="F767" s="2">
        <v>70000</v>
      </c>
      <c r="G767">
        <v>0</v>
      </c>
      <c r="H767" t="s">
        <v>16</v>
      </c>
      <c r="I767" t="s">
        <v>12</v>
      </c>
      <c r="J767" t="s">
        <v>13</v>
      </c>
      <c r="K767">
        <v>2</v>
      </c>
      <c r="L767" t="s">
        <v>20</v>
      </c>
      <c r="M767" t="s">
        <v>28</v>
      </c>
      <c r="N767" s="2">
        <v>34</v>
      </c>
      <c r="O767" t="str" cm="1">
        <f t="array" ref="O767">_xlfn.IFS(
  AND(BikePurchase[[#This Row],[Age]]&gt;=18, BikePurchase[[#This Row],[Age]]&lt;=30), "Adolescent",
  AND(BikePurchase[[#This Row],[Age]]&gt;30, BikePurchase[[#This Row],[Age]]&lt;55), "Middle Aged",
  AND(BikePurchase[[#This Row],[Age]]&gt;=55, BikePurchase[[#This Row],[Age]]&lt;90), "Old",
  TRUE, "Invalid"
)</f>
        <v>Middle Aged</v>
      </c>
      <c r="P767" t="s">
        <v>13</v>
      </c>
      <c r="Q767" t="str">
        <f>IF(BikePurchase[[#This Row],[Purchased BikeX]]="No","Not Purchased","Purchased")</f>
        <v>Purchased</v>
      </c>
    </row>
    <row r="768" spans="1:17" x14ac:dyDescent="0.3">
      <c r="A768">
        <v>14608</v>
      </c>
      <c r="B768" t="s">
        <v>30</v>
      </c>
      <c r="C768" t="str">
        <f t="shared" si="22"/>
        <v>Married</v>
      </c>
      <c r="D768" t="s">
        <v>30</v>
      </c>
      <c r="E768" t="str">
        <f t="shared" si="23"/>
        <v>Male</v>
      </c>
      <c r="F768" s="2">
        <v>50000</v>
      </c>
      <c r="G768">
        <v>4</v>
      </c>
      <c r="H768" t="s">
        <v>11</v>
      </c>
      <c r="I768" t="s">
        <v>12</v>
      </c>
      <c r="J768" t="s">
        <v>13</v>
      </c>
      <c r="K768">
        <v>3</v>
      </c>
      <c r="L768" t="s">
        <v>48</v>
      </c>
      <c r="M768" t="s">
        <v>28</v>
      </c>
      <c r="N768" s="2">
        <v>42</v>
      </c>
      <c r="O768" t="str" cm="1">
        <f t="array" ref="O768">_xlfn.IFS(
  AND(BikePurchase[[#This Row],[Age]]&gt;=18, BikePurchase[[#This Row],[Age]]&lt;=30), "Adolescent",
  AND(BikePurchase[[#This Row],[Age]]&gt;30, BikePurchase[[#This Row],[Age]]&lt;55), "Middle Aged",
  AND(BikePurchase[[#This Row],[Age]]&gt;=55, BikePurchase[[#This Row],[Age]]&lt;90), "Old",
  TRUE, "Invalid"
)</f>
        <v>Middle Aged</v>
      </c>
      <c r="P768" t="s">
        <v>15</v>
      </c>
      <c r="Q768" t="str">
        <f>IF(BikePurchase[[#This Row],[Purchased BikeX]]="No","Not Purchased","Purchased")</f>
        <v>Not Purchased</v>
      </c>
    </row>
    <row r="769" spans="1:17" x14ac:dyDescent="0.3">
      <c r="A769">
        <v>24979</v>
      </c>
      <c r="B769" t="s">
        <v>30</v>
      </c>
      <c r="C769" t="str">
        <f t="shared" si="22"/>
        <v>Married</v>
      </c>
      <c r="D769" t="s">
        <v>29</v>
      </c>
      <c r="E769" t="str">
        <f t="shared" si="23"/>
        <v>Female</v>
      </c>
      <c r="F769" s="2">
        <v>60000</v>
      </c>
      <c r="G769">
        <v>2</v>
      </c>
      <c r="H769" t="s">
        <v>16</v>
      </c>
      <c r="I769" t="s">
        <v>18</v>
      </c>
      <c r="J769" t="s">
        <v>13</v>
      </c>
      <c r="K769">
        <v>2</v>
      </c>
      <c r="L769" t="s">
        <v>19</v>
      </c>
      <c r="M769" t="s">
        <v>28</v>
      </c>
      <c r="N769" s="2">
        <v>57</v>
      </c>
      <c r="O769" t="str" cm="1">
        <f t="array" ref="O769">_xlfn.IFS(
  AND(BikePurchase[[#This Row],[Age]]&gt;=18, BikePurchase[[#This Row],[Age]]&lt;=30), "Adolescent",
  AND(BikePurchase[[#This Row],[Age]]&gt;30, BikePurchase[[#This Row],[Age]]&lt;55), "Middle Aged",
  AND(BikePurchase[[#This Row],[Age]]&gt;=55, BikePurchase[[#This Row],[Age]]&lt;90), "Old",
  TRUE, "Invalid"
)</f>
        <v>Old</v>
      </c>
      <c r="P769" t="s">
        <v>13</v>
      </c>
      <c r="Q769" t="str">
        <f>IF(BikePurchase[[#This Row],[Purchased BikeX]]="No","Not Purchased","Purchased")</f>
        <v>Purchased</v>
      </c>
    </row>
    <row r="770" spans="1:17" x14ac:dyDescent="0.3">
      <c r="A770">
        <v>13313</v>
      </c>
      <c r="B770" t="s">
        <v>30</v>
      </c>
      <c r="C770" t="str">
        <f t="shared" ref="C770:C833" si="24">IF(B770="M","Married","Single")</f>
        <v>Married</v>
      </c>
      <c r="D770" t="s">
        <v>29</v>
      </c>
      <c r="E770" t="str">
        <f t="shared" ref="E770:E833" si="25">IF(D770="F","Female","Male")</f>
        <v>Female</v>
      </c>
      <c r="F770" s="2">
        <v>120000</v>
      </c>
      <c r="G770">
        <v>1</v>
      </c>
      <c r="H770" t="s">
        <v>24</v>
      </c>
      <c r="I770" t="s">
        <v>18</v>
      </c>
      <c r="J770" t="s">
        <v>15</v>
      </c>
      <c r="K770">
        <v>4</v>
      </c>
      <c r="L770" t="s">
        <v>19</v>
      </c>
      <c r="M770" t="s">
        <v>28</v>
      </c>
      <c r="N770" s="2">
        <v>45</v>
      </c>
      <c r="O770" t="str" cm="1">
        <f t="array" ref="O770">_xlfn.IFS(
  AND(BikePurchase[[#This Row],[Age]]&gt;=18, BikePurchase[[#This Row],[Age]]&lt;=30), "Adolescent",
  AND(BikePurchase[[#This Row],[Age]]&gt;30, BikePurchase[[#This Row],[Age]]&lt;55), "Middle Aged",
  AND(BikePurchase[[#This Row],[Age]]&gt;=55, BikePurchase[[#This Row],[Age]]&lt;90), "Old",
  TRUE, "Invalid"
)</f>
        <v>Middle Aged</v>
      </c>
      <c r="P770" t="s">
        <v>15</v>
      </c>
      <c r="Q770" t="str">
        <f>IF(BikePurchase[[#This Row],[Purchased BikeX]]="No","Not Purchased","Purchased")</f>
        <v>Not Purchased</v>
      </c>
    </row>
    <row r="771" spans="1:17" x14ac:dyDescent="0.3">
      <c r="A771">
        <v>18952</v>
      </c>
      <c r="B771" t="s">
        <v>30</v>
      </c>
      <c r="C771" t="str">
        <f t="shared" si="24"/>
        <v>Married</v>
      </c>
      <c r="D771" t="s">
        <v>29</v>
      </c>
      <c r="E771" t="str">
        <f t="shared" si="25"/>
        <v>Female</v>
      </c>
      <c r="F771" s="2">
        <v>100000</v>
      </c>
      <c r="G771">
        <v>4</v>
      </c>
      <c r="H771" t="s">
        <v>11</v>
      </c>
      <c r="I771" t="s">
        <v>25</v>
      </c>
      <c r="J771" t="s">
        <v>13</v>
      </c>
      <c r="K771">
        <v>4</v>
      </c>
      <c r="L771" t="s">
        <v>35</v>
      </c>
      <c r="M771" t="s">
        <v>28</v>
      </c>
      <c r="N771" s="2">
        <v>40</v>
      </c>
      <c r="O771" t="str" cm="1">
        <f t="array" ref="O771">_xlfn.IFS(
  AND(BikePurchase[[#This Row],[Age]]&gt;=18, BikePurchase[[#This Row],[Age]]&lt;=30), "Adolescent",
  AND(BikePurchase[[#This Row],[Age]]&gt;30, BikePurchase[[#This Row],[Age]]&lt;55), "Middle Aged",
  AND(BikePurchase[[#This Row],[Age]]&gt;=55, BikePurchase[[#This Row],[Age]]&lt;90), "Old",
  TRUE, "Invalid"
)</f>
        <v>Middle Aged</v>
      </c>
      <c r="P771" t="s">
        <v>15</v>
      </c>
      <c r="Q771" t="str">
        <f>IF(BikePurchase[[#This Row],[Purchased BikeX]]="No","Not Purchased","Purchased")</f>
        <v>Not Purchased</v>
      </c>
    </row>
    <row r="772" spans="1:17" x14ac:dyDescent="0.3">
      <c r="A772">
        <v>17699</v>
      </c>
      <c r="B772" t="s">
        <v>30</v>
      </c>
      <c r="C772" t="str">
        <f t="shared" si="24"/>
        <v>Married</v>
      </c>
      <c r="D772" t="s">
        <v>30</v>
      </c>
      <c r="E772" t="str">
        <f t="shared" si="25"/>
        <v>Male</v>
      </c>
      <c r="F772" s="2">
        <v>60000</v>
      </c>
      <c r="G772">
        <v>1</v>
      </c>
      <c r="H772" t="s">
        <v>27</v>
      </c>
      <c r="I772" t="s">
        <v>12</v>
      </c>
      <c r="J772" t="s">
        <v>15</v>
      </c>
      <c r="K772">
        <v>0</v>
      </c>
      <c r="L772" t="s">
        <v>35</v>
      </c>
      <c r="M772" t="s">
        <v>28</v>
      </c>
      <c r="N772" s="2">
        <v>55</v>
      </c>
      <c r="O772" t="str" cm="1">
        <f t="array" ref="O772">_xlfn.IFS(
  AND(BikePurchase[[#This Row],[Age]]&gt;=18, BikePurchase[[#This Row],[Age]]&lt;=30), "Adolescent",
  AND(BikePurchase[[#This Row],[Age]]&gt;30, BikePurchase[[#This Row],[Age]]&lt;55), "Middle Aged",
  AND(BikePurchase[[#This Row],[Age]]&gt;=55, BikePurchase[[#This Row],[Age]]&lt;90), "Old",
  TRUE, "Invalid"
)</f>
        <v>Old</v>
      </c>
      <c r="P772" t="s">
        <v>15</v>
      </c>
      <c r="Q772" t="str">
        <f>IF(BikePurchase[[#This Row],[Purchased BikeX]]="No","Not Purchased","Purchased")</f>
        <v>Not Purchased</v>
      </c>
    </row>
    <row r="773" spans="1:17" x14ac:dyDescent="0.3">
      <c r="A773">
        <v>14657</v>
      </c>
      <c r="B773" t="s">
        <v>30</v>
      </c>
      <c r="C773" t="str">
        <f t="shared" si="24"/>
        <v>Married</v>
      </c>
      <c r="D773" t="s">
        <v>30</v>
      </c>
      <c r="E773" t="str">
        <f t="shared" si="25"/>
        <v>Male</v>
      </c>
      <c r="F773" s="2">
        <v>80000</v>
      </c>
      <c r="G773">
        <v>1</v>
      </c>
      <c r="H773" t="s">
        <v>16</v>
      </c>
      <c r="I773" t="s">
        <v>12</v>
      </c>
      <c r="J773" t="s">
        <v>15</v>
      </c>
      <c r="K773">
        <v>1</v>
      </c>
      <c r="L773" t="s">
        <v>35</v>
      </c>
      <c r="M773" t="s">
        <v>28</v>
      </c>
      <c r="N773" s="2">
        <v>47</v>
      </c>
      <c r="O773" t="str" cm="1">
        <f t="array" ref="O773">_xlfn.IFS(
  AND(BikePurchase[[#This Row],[Age]]&gt;=18, BikePurchase[[#This Row],[Age]]&lt;=30), "Adolescent",
  AND(BikePurchase[[#This Row],[Age]]&gt;30, BikePurchase[[#This Row],[Age]]&lt;55), "Middle Aged",
  AND(BikePurchase[[#This Row],[Age]]&gt;=55, BikePurchase[[#This Row],[Age]]&lt;90), "Old",
  TRUE, "Invalid"
)</f>
        <v>Middle Aged</v>
      </c>
      <c r="P773" t="s">
        <v>13</v>
      </c>
      <c r="Q773" t="str">
        <f>IF(BikePurchase[[#This Row],[Purchased BikeX]]="No","Not Purchased","Purchased")</f>
        <v>Purchased</v>
      </c>
    </row>
    <row r="774" spans="1:17" x14ac:dyDescent="0.3">
      <c r="A774">
        <v>11540</v>
      </c>
      <c r="B774" t="s">
        <v>31</v>
      </c>
      <c r="C774" t="str">
        <f t="shared" si="24"/>
        <v>Single</v>
      </c>
      <c r="D774" t="s">
        <v>30</v>
      </c>
      <c r="E774" t="str">
        <f t="shared" si="25"/>
        <v>Male</v>
      </c>
      <c r="F774" s="2">
        <v>60000</v>
      </c>
      <c r="G774">
        <v>4</v>
      </c>
      <c r="H774" t="s">
        <v>27</v>
      </c>
      <c r="I774" t="s">
        <v>12</v>
      </c>
      <c r="J774" t="s">
        <v>13</v>
      </c>
      <c r="K774">
        <v>0</v>
      </c>
      <c r="L774" t="s">
        <v>23</v>
      </c>
      <c r="M774" t="s">
        <v>28</v>
      </c>
      <c r="N774" s="2">
        <v>47</v>
      </c>
      <c r="O774" t="str" cm="1">
        <f t="array" ref="O774">_xlfn.IFS(
  AND(BikePurchase[[#This Row],[Age]]&gt;=18, BikePurchase[[#This Row],[Age]]&lt;=30), "Adolescent",
  AND(BikePurchase[[#This Row],[Age]]&gt;30, BikePurchase[[#This Row],[Age]]&lt;55), "Middle Aged",
  AND(BikePurchase[[#This Row],[Age]]&gt;=55, BikePurchase[[#This Row],[Age]]&lt;90), "Old",
  TRUE, "Invalid"
)</f>
        <v>Middle Aged</v>
      </c>
      <c r="P774" t="s">
        <v>13</v>
      </c>
      <c r="Q774" t="str">
        <f>IF(BikePurchase[[#This Row],[Purchased BikeX]]="No","Not Purchased","Purchased")</f>
        <v>Purchased</v>
      </c>
    </row>
    <row r="775" spans="1:17" x14ac:dyDescent="0.3">
      <c r="A775">
        <v>11783</v>
      </c>
      <c r="B775" t="s">
        <v>30</v>
      </c>
      <c r="C775" t="str">
        <f t="shared" si="24"/>
        <v>Married</v>
      </c>
      <c r="D775" t="s">
        <v>29</v>
      </c>
      <c r="E775" t="str">
        <f t="shared" si="25"/>
        <v>Female</v>
      </c>
      <c r="F775" s="2">
        <v>60000</v>
      </c>
      <c r="G775">
        <v>1</v>
      </c>
      <c r="H775" t="s">
        <v>27</v>
      </c>
      <c r="I775" t="s">
        <v>12</v>
      </c>
      <c r="J775" t="s">
        <v>13</v>
      </c>
      <c r="K775">
        <v>0</v>
      </c>
      <c r="L775" t="s">
        <v>35</v>
      </c>
      <c r="M775" t="s">
        <v>28</v>
      </c>
      <c r="N775" s="2">
        <v>34</v>
      </c>
      <c r="O775" t="str" cm="1">
        <f t="array" ref="O775">_xlfn.IFS(
  AND(BikePurchase[[#This Row],[Age]]&gt;=18, BikePurchase[[#This Row],[Age]]&lt;=30), "Adolescent",
  AND(BikePurchase[[#This Row],[Age]]&gt;30, BikePurchase[[#This Row],[Age]]&lt;55), "Middle Aged",
  AND(BikePurchase[[#This Row],[Age]]&gt;=55, BikePurchase[[#This Row],[Age]]&lt;90), "Old",
  TRUE, "Invalid"
)</f>
        <v>Middle Aged</v>
      </c>
      <c r="P775" t="s">
        <v>15</v>
      </c>
      <c r="Q775" t="str">
        <f>IF(BikePurchase[[#This Row],[Purchased BikeX]]="No","Not Purchased","Purchased")</f>
        <v>Not Purchased</v>
      </c>
    </row>
    <row r="776" spans="1:17" x14ac:dyDescent="0.3">
      <c r="A776">
        <v>14602</v>
      </c>
      <c r="B776" t="s">
        <v>30</v>
      </c>
      <c r="C776" t="str">
        <f t="shared" si="24"/>
        <v>Married</v>
      </c>
      <c r="D776" t="s">
        <v>29</v>
      </c>
      <c r="E776" t="str">
        <f t="shared" si="25"/>
        <v>Female</v>
      </c>
      <c r="F776" s="2">
        <v>80000</v>
      </c>
      <c r="G776">
        <v>3</v>
      </c>
      <c r="H776" t="s">
        <v>27</v>
      </c>
      <c r="I776" t="s">
        <v>18</v>
      </c>
      <c r="J776" t="s">
        <v>13</v>
      </c>
      <c r="K776">
        <v>0</v>
      </c>
      <c r="L776" t="s">
        <v>35</v>
      </c>
      <c r="M776" t="s">
        <v>28</v>
      </c>
      <c r="N776" s="2">
        <v>36</v>
      </c>
      <c r="O776" t="str" cm="1">
        <f t="array" ref="O776">_xlfn.IFS(
  AND(BikePurchase[[#This Row],[Age]]&gt;=18, BikePurchase[[#This Row],[Age]]&lt;=30), "Adolescent",
  AND(BikePurchase[[#This Row],[Age]]&gt;30, BikePurchase[[#This Row],[Age]]&lt;55), "Middle Aged",
  AND(BikePurchase[[#This Row],[Age]]&gt;=55, BikePurchase[[#This Row],[Age]]&lt;90), "Old",
  TRUE, "Invalid"
)</f>
        <v>Middle Aged</v>
      </c>
      <c r="P776" t="s">
        <v>13</v>
      </c>
      <c r="Q776" t="str">
        <f>IF(BikePurchase[[#This Row],[Purchased BikeX]]="No","Not Purchased","Purchased")</f>
        <v>Purchased</v>
      </c>
    </row>
    <row r="777" spans="1:17" x14ac:dyDescent="0.3">
      <c r="A777">
        <v>29030</v>
      </c>
      <c r="B777" t="s">
        <v>30</v>
      </c>
      <c r="C777" t="str">
        <f t="shared" si="24"/>
        <v>Married</v>
      </c>
      <c r="D777" t="s">
        <v>30</v>
      </c>
      <c r="E777" t="str">
        <f t="shared" si="25"/>
        <v>Male</v>
      </c>
      <c r="F777" s="2">
        <v>70000</v>
      </c>
      <c r="G777">
        <v>2</v>
      </c>
      <c r="H777" t="s">
        <v>26</v>
      </c>
      <c r="I777" t="s">
        <v>12</v>
      </c>
      <c r="J777" t="s">
        <v>13</v>
      </c>
      <c r="K777">
        <v>2</v>
      </c>
      <c r="L777" t="s">
        <v>48</v>
      </c>
      <c r="M777" t="s">
        <v>28</v>
      </c>
      <c r="N777" s="2">
        <v>54</v>
      </c>
      <c r="O777" t="str" cm="1">
        <f t="array" ref="O777">_xlfn.IFS(
  AND(BikePurchase[[#This Row],[Age]]&gt;=18, BikePurchase[[#This Row],[Age]]&lt;=30), "Adolescent",
  AND(BikePurchase[[#This Row],[Age]]&gt;30, BikePurchase[[#This Row],[Age]]&lt;55), "Middle Aged",
  AND(BikePurchase[[#This Row],[Age]]&gt;=55, BikePurchase[[#This Row],[Age]]&lt;90), "Old",
  TRUE, "Invalid"
)</f>
        <v>Middle Aged</v>
      </c>
      <c r="P777" t="s">
        <v>15</v>
      </c>
      <c r="Q777" t="str">
        <f>IF(BikePurchase[[#This Row],[Purchased BikeX]]="No","Not Purchased","Purchased")</f>
        <v>Not Purchased</v>
      </c>
    </row>
    <row r="778" spans="1:17" x14ac:dyDescent="0.3">
      <c r="A778">
        <v>26490</v>
      </c>
      <c r="B778" t="s">
        <v>31</v>
      </c>
      <c r="C778" t="str">
        <f t="shared" si="24"/>
        <v>Single</v>
      </c>
      <c r="D778" t="s">
        <v>30</v>
      </c>
      <c r="E778" t="str">
        <f t="shared" si="25"/>
        <v>Male</v>
      </c>
      <c r="F778" s="2">
        <v>70000</v>
      </c>
      <c r="G778">
        <v>2</v>
      </c>
      <c r="H778" t="s">
        <v>11</v>
      </c>
      <c r="I778" t="s">
        <v>25</v>
      </c>
      <c r="J778" t="s">
        <v>15</v>
      </c>
      <c r="K778">
        <v>1</v>
      </c>
      <c r="L778" t="s">
        <v>19</v>
      </c>
      <c r="M778" t="s">
        <v>28</v>
      </c>
      <c r="N778" s="2">
        <v>59</v>
      </c>
      <c r="O778" t="str" cm="1">
        <f t="array" ref="O778">_xlfn.IFS(
  AND(BikePurchase[[#This Row],[Age]]&gt;=18, BikePurchase[[#This Row],[Age]]&lt;=30), "Adolescent",
  AND(BikePurchase[[#This Row],[Age]]&gt;30, BikePurchase[[#This Row],[Age]]&lt;55), "Middle Aged",
  AND(BikePurchase[[#This Row],[Age]]&gt;=55, BikePurchase[[#This Row],[Age]]&lt;90), "Old",
  TRUE, "Invalid"
)</f>
        <v>Old</v>
      </c>
      <c r="P778" t="s">
        <v>13</v>
      </c>
      <c r="Q778" t="str">
        <f>IF(BikePurchase[[#This Row],[Purchased BikeX]]="No","Not Purchased","Purchased")</f>
        <v>Purchased</v>
      </c>
    </row>
    <row r="779" spans="1:17" x14ac:dyDescent="0.3">
      <c r="A779">
        <v>13151</v>
      </c>
      <c r="B779" t="s">
        <v>31</v>
      </c>
      <c r="C779" t="str">
        <f t="shared" si="24"/>
        <v>Single</v>
      </c>
      <c r="D779" t="s">
        <v>30</v>
      </c>
      <c r="E779" t="str">
        <f t="shared" si="25"/>
        <v>Male</v>
      </c>
      <c r="F779" s="2">
        <v>40000</v>
      </c>
      <c r="G779">
        <v>0</v>
      </c>
      <c r="H779" t="s">
        <v>24</v>
      </c>
      <c r="I779" t="s">
        <v>12</v>
      </c>
      <c r="J779" t="s">
        <v>13</v>
      </c>
      <c r="K779">
        <v>2</v>
      </c>
      <c r="L779" t="s">
        <v>20</v>
      </c>
      <c r="M779" t="s">
        <v>28</v>
      </c>
      <c r="N779" s="2">
        <v>27</v>
      </c>
      <c r="O779" t="str" cm="1">
        <f t="array" ref="O779">_xlfn.IFS(
  AND(BikePurchase[[#This Row],[Age]]&gt;=18, BikePurchase[[#This Row],[Age]]&lt;=30), "Adolescent",
  AND(BikePurchase[[#This Row],[Age]]&gt;30, BikePurchase[[#This Row],[Age]]&lt;55), "Middle Aged",
  AND(BikePurchase[[#This Row],[Age]]&gt;=55, BikePurchase[[#This Row],[Age]]&lt;90), "Old",
  TRUE, "Invalid"
)</f>
        <v>Adolescent</v>
      </c>
      <c r="P779" t="s">
        <v>15</v>
      </c>
      <c r="Q779" t="str">
        <f>IF(BikePurchase[[#This Row],[Purchased BikeX]]="No","Not Purchased","Purchased")</f>
        <v>Not Purchased</v>
      </c>
    </row>
    <row r="780" spans="1:17" x14ac:dyDescent="0.3">
      <c r="A780">
        <v>17260</v>
      </c>
      <c r="B780" t="s">
        <v>30</v>
      </c>
      <c r="C780" t="str">
        <f t="shared" si="24"/>
        <v>Married</v>
      </c>
      <c r="D780" t="s">
        <v>30</v>
      </c>
      <c r="E780" t="str">
        <f t="shared" si="25"/>
        <v>Male</v>
      </c>
      <c r="F780" s="2">
        <v>90000</v>
      </c>
      <c r="G780">
        <v>5</v>
      </c>
      <c r="H780" t="s">
        <v>16</v>
      </c>
      <c r="I780" t="s">
        <v>18</v>
      </c>
      <c r="J780" t="s">
        <v>13</v>
      </c>
      <c r="K780">
        <v>3</v>
      </c>
      <c r="L780" t="s">
        <v>35</v>
      </c>
      <c r="M780" t="s">
        <v>28</v>
      </c>
      <c r="N780" s="2">
        <v>41</v>
      </c>
      <c r="O780" t="str" cm="1">
        <f t="array" ref="O780">_xlfn.IFS(
  AND(BikePurchase[[#This Row],[Age]]&gt;=18, BikePurchase[[#This Row],[Age]]&lt;=30), "Adolescent",
  AND(BikePurchase[[#This Row],[Age]]&gt;30, BikePurchase[[#This Row],[Age]]&lt;55), "Middle Aged",
  AND(BikePurchase[[#This Row],[Age]]&gt;=55, BikePurchase[[#This Row],[Age]]&lt;90), "Old",
  TRUE, "Invalid"
)</f>
        <v>Middle Aged</v>
      </c>
      <c r="P780" t="s">
        <v>15</v>
      </c>
      <c r="Q780" t="str">
        <f>IF(BikePurchase[[#This Row],[Purchased BikeX]]="No","Not Purchased","Purchased")</f>
        <v>Not Purchased</v>
      </c>
    </row>
    <row r="781" spans="1:17" x14ac:dyDescent="0.3">
      <c r="A781">
        <v>15372</v>
      </c>
      <c r="B781" t="s">
        <v>30</v>
      </c>
      <c r="C781" t="str">
        <f t="shared" si="24"/>
        <v>Married</v>
      </c>
      <c r="D781" t="s">
        <v>30</v>
      </c>
      <c r="E781" t="str">
        <f t="shared" si="25"/>
        <v>Male</v>
      </c>
      <c r="F781" s="2">
        <v>80000</v>
      </c>
      <c r="G781">
        <v>3</v>
      </c>
      <c r="H781" t="s">
        <v>16</v>
      </c>
      <c r="I781" t="s">
        <v>18</v>
      </c>
      <c r="J781" t="s">
        <v>15</v>
      </c>
      <c r="K781">
        <v>2</v>
      </c>
      <c r="L781" t="s">
        <v>19</v>
      </c>
      <c r="M781" t="s">
        <v>28</v>
      </c>
      <c r="N781" s="2">
        <v>50</v>
      </c>
      <c r="O781" t="str" cm="1">
        <f t="array" ref="O781">_xlfn.IFS(
  AND(BikePurchase[[#This Row],[Age]]&gt;=18, BikePurchase[[#This Row],[Age]]&lt;=30), "Adolescent",
  AND(BikePurchase[[#This Row],[Age]]&gt;30, BikePurchase[[#This Row],[Age]]&lt;55), "Middle Aged",
  AND(BikePurchase[[#This Row],[Age]]&gt;=55, BikePurchase[[#This Row],[Age]]&lt;90), "Old",
  TRUE, "Invalid"
)</f>
        <v>Middle Aged</v>
      </c>
      <c r="P781" t="s">
        <v>13</v>
      </c>
      <c r="Q781" t="str">
        <f>IF(BikePurchase[[#This Row],[Purchased BikeX]]="No","Not Purchased","Purchased")</f>
        <v>Purchased</v>
      </c>
    </row>
    <row r="782" spans="1:17" x14ac:dyDescent="0.3">
      <c r="A782">
        <v>18105</v>
      </c>
      <c r="B782" t="s">
        <v>30</v>
      </c>
      <c r="C782" t="str">
        <f t="shared" si="24"/>
        <v>Married</v>
      </c>
      <c r="D782" t="s">
        <v>29</v>
      </c>
      <c r="E782" t="str">
        <f t="shared" si="25"/>
        <v>Female</v>
      </c>
      <c r="F782" s="2">
        <v>60000</v>
      </c>
      <c r="G782">
        <v>2</v>
      </c>
      <c r="H782" t="s">
        <v>16</v>
      </c>
      <c r="I782" t="s">
        <v>18</v>
      </c>
      <c r="J782" t="s">
        <v>13</v>
      </c>
      <c r="K782">
        <v>1</v>
      </c>
      <c r="L782" t="s">
        <v>48</v>
      </c>
      <c r="M782" t="s">
        <v>28</v>
      </c>
      <c r="N782" s="2">
        <v>55</v>
      </c>
      <c r="O782" t="str" cm="1">
        <f t="array" ref="O782">_xlfn.IFS(
  AND(BikePurchase[[#This Row],[Age]]&gt;=18, BikePurchase[[#This Row],[Age]]&lt;=30), "Adolescent",
  AND(BikePurchase[[#This Row],[Age]]&gt;30, BikePurchase[[#This Row],[Age]]&lt;55), "Middle Aged",
  AND(BikePurchase[[#This Row],[Age]]&gt;=55, BikePurchase[[#This Row],[Age]]&lt;90), "Old",
  TRUE, "Invalid"
)</f>
        <v>Old</v>
      </c>
      <c r="P782" t="s">
        <v>15</v>
      </c>
      <c r="Q782" t="str">
        <f>IF(BikePurchase[[#This Row],[Purchased BikeX]]="No","Not Purchased","Purchased")</f>
        <v>Not Purchased</v>
      </c>
    </row>
    <row r="783" spans="1:17" x14ac:dyDescent="0.3">
      <c r="A783">
        <v>19660</v>
      </c>
      <c r="B783" t="s">
        <v>30</v>
      </c>
      <c r="C783" t="str">
        <f t="shared" si="24"/>
        <v>Married</v>
      </c>
      <c r="D783" t="s">
        <v>30</v>
      </c>
      <c r="E783" t="str">
        <f t="shared" si="25"/>
        <v>Male</v>
      </c>
      <c r="F783" s="2">
        <v>80000</v>
      </c>
      <c r="G783">
        <v>4</v>
      </c>
      <c r="H783" t="s">
        <v>11</v>
      </c>
      <c r="I783" t="s">
        <v>25</v>
      </c>
      <c r="J783" t="s">
        <v>13</v>
      </c>
      <c r="K783">
        <v>0</v>
      </c>
      <c r="L783" t="s">
        <v>35</v>
      </c>
      <c r="M783" t="s">
        <v>28</v>
      </c>
      <c r="N783" s="2">
        <v>43</v>
      </c>
      <c r="O783" t="str" cm="1">
        <f t="array" ref="O783">_xlfn.IFS(
  AND(BikePurchase[[#This Row],[Age]]&gt;=18, BikePurchase[[#This Row],[Age]]&lt;=30), "Adolescent",
  AND(BikePurchase[[#This Row],[Age]]&gt;30, BikePurchase[[#This Row],[Age]]&lt;55), "Middle Aged",
  AND(BikePurchase[[#This Row],[Age]]&gt;=55, BikePurchase[[#This Row],[Age]]&lt;90), "Old",
  TRUE, "Invalid"
)</f>
        <v>Middle Aged</v>
      </c>
      <c r="P783" t="s">
        <v>15</v>
      </c>
      <c r="Q783" t="str">
        <f>IF(BikePurchase[[#This Row],[Purchased BikeX]]="No","Not Purchased","Purchased")</f>
        <v>Not Purchased</v>
      </c>
    </row>
    <row r="784" spans="1:17" x14ac:dyDescent="0.3">
      <c r="A784">
        <v>16112</v>
      </c>
      <c r="B784" t="s">
        <v>31</v>
      </c>
      <c r="C784" t="str">
        <f t="shared" si="24"/>
        <v>Single</v>
      </c>
      <c r="D784" t="s">
        <v>30</v>
      </c>
      <c r="E784" t="str">
        <f t="shared" si="25"/>
        <v>Male</v>
      </c>
      <c r="F784" s="2">
        <v>70000</v>
      </c>
      <c r="G784">
        <v>4</v>
      </c>
      <c r="H784" t="s">
        <v>11</v>
      </c>
      <c r="I784" t="s">
        <v>18</v>
      </c>
      <c r="J784" t="s">
        <v>13</v>
      </c>
      <c r="K784">
        <v>2</v>
      </c>
      <c r="L784" t="s">
        <v>19</v>
      </c>
      <c r="M784" t="s">
        <v>28</v>
      </c>
      <c r="N784" s="2">
        <v>43</v>
      </c>
      <c r="O784" t="str" cm="1">
        <f t="array" ref="O784">_xlfn.IFS(
  AND(BikePurchase[[#This Row],[Age]]&gt;=18, BikePurchase[[#This Row],[Age]]&lt;=30), "Adolescent",
  AND(BikePurchase[[#This Row],[Age]]&gt;30, BikePurchase[[#This Row],[Age]]&lt;55), "Middle Aged",
  AND(BikePurchase[[#This Row],[Age]]&gt;=55, BikePurchase[[#This Row],[Age]]&lt;90), "Old",
  TRUE, "Invalid"
)</f>
        <v>Middle Aged</v>
      </c>
      <c r="P784" t="s">
        <v>13</v>
      </c>
      <c r="Q784" t="str">
        <f>IF(BikePurchase[[#This Row],[Purchased BikeX]]="No","Not Purchased","Purchased")</f>
        <v>Purchased</v>
      </c>
    </row>
    <row r="785" spans="1:17" x14ac:dyDescent="0.3">
      <c r="A785">
        <v>20698</v>
      </c>
      <c r="B785" t="s">
        <v>30</v>
      </c>
      <c r="C785" t="str">
        <f t="shared" si="24"/>
        <v>Married</v>
      </c>
      <c r="D785" t="s">
        <v>30</v>
      </c>
      <c r="E785" t="str">
        <f t="shared" si="25"/>
        <v>Male</v>
      </c>
      <c r="F785" s="2">
        <v>60000</v>
      </c>
      <c r="G785">
        <v>4</v>
      </c>
      <c r="H785" t="s">
        <v>11</v>
      </c>
      <c r="I785" t="s">
        <v>12</v>
      </c>
      <c r="J785" t="s">
        <v>13</v>
      </c>
      <c r="K785">
        <v>3</v>
      </c>
      <c r="L785" t="s">
        <v>20</v>
      </c>
      <c r="M785" t="s">
        <v>28</v>
      </c>
      <c r="N785" s="2">
        <v>42</v>
      </c>
      <c r="O785" t="str" cm="1">
        <f t="array" ref="O785">_xlfn.IFS(
  AND(BikePurchase[[#This Row],[Age]]&gt;=18, BikePurchase[[#This Row],[Age]]&lt;=30), "Adolescent",
  AND(BikePurchase[[#This Row],[Age]]&gt;30, BikePurchase[[#This Row],[Age]]&lt;55), "Middle Aged",
  AND(BikePurchase[[#This Row],[Age]]&gt;=55, BikePurchase[[#This Row],[Age]]&lt;90), "Old",
  TRUE, "Invalid"
)</f>
        <v>Middle Aged</v>
      </c>
      <c r="P785" t="s">
        <v>15</v>
      </c>
      <c r="Q785" t="str">
        <f>IF(BikePurchase[[#This Row],[Purchased BikeX]]="No","Not Purchased","Purchased")</f>
        <v>Not Purchased</v>
      </c>
    </row>
    <row r="786" spans="1:17" x14ac:dyDescent="0.3">
      <c r="A786">
        <v>20076</v>
      </c>
      <c r="B786" t="s">
        <v>31</v>
      </c>
      <c r="C786" t="str">
        <f t="shared" si="24"/>
        <v>Single</v>
      </c>
      <c r="D786" t="s">
        <v>29</v>
      </c>
      <c r="E786" t="str">
        <f t="shared" si="25"/>
        <v>Female</v>
      </c>
      <c r="F786" s="2">
        <v>10000</v>
      </c>
      <c r="G786">
        <v>2</v>
      </c>
      <c r="H786" t="s">
        <v>24</v>
      </c>
      <c r="I786" t="s">
        <v>22</v>
      </c>
      <c r="J786" t="s">
        <v>13</v>
      </c>
      <c r="K786">
        <v>2</v>
      </c>
      <c r="L786" t="s">
        <v>23</v>
      </c>
      <c r="M786" t="s">
        <v>28</v>
      </c>
      <c r="N786" s="2">
        <v>53</v>
      </c>
      <c r="O786" t="str" cm="1">
        <f t="array" ref="O786">_xlfn.IFS(
  AND(BikePurchase[[#This Row],[Age]]&gt;=18, BikePurchase[[#This Row],[Age]]&lt;=30), "Adolescent",
  AND(BikePurchase[[#This Row],[Age]]&gt;30, BikePurchase[[#This Row],[Age]]&lt;55), "Middle Aged",
  AND(BikePurchase[[#This Row],[Age]]&gt;=55, BikePurchase[[#This Row],[Age]]&lt;90), "Old",
  TRUE, "Invalid"
)</f>
        <v>Middle Aged</v>
      </c>
      <c r="P786" t="s">
        <v>13</v>
      </c>
      <c r="Q786" t="str">
        <f>IF(BikePurchase[[#This Row],[Purchased BikeX]]="No","Not Purchased","Purchased")</f>
        <v>Purchased</v>
      </c>
    </row>
    <row r="787" spans="1:17" x14ac:dyDescent="0.3">
      <c r="A787">
        <v>24496</v>
      </c>
      <c r="B787" t="s">
        <v>31</v>
      </c>
      <c r="C787" t="str">
        <f t="shared" si="24"/>
        <v>Single</v>
      </c>
      <c r="D787" t="s">
        <v>29</v>
      </c>
      <c r="E787" t="str">
        <f t="shared" si="25"/>
        <v>Female</v>
      </c>
      <c r="F787" s="2">
        <v>40000</v>
      </c>
      <c r="G787">
        <v>0</v>
      </c>
      <c r="H787" t="s">
        <v>24</v>
      </c>
      <c r="I787" t="s">
        <v>12</v>
      </c>
      <c r="J787" t="s">
        <v>15</v>
      </c>
      <c r="K787">
        <v>2</v>
      </c>
      <c r="L787" t="s">
        <v>35</v>
      </c>
      <c r="M787" t="s">
        <v>28</v>
      </c>
      <c r="N787" s="2">
        <v>28</v>
      </c>
      <c r="O787" t="str" cm="1">
        <f t="array" ref="O787">_xlfn.IFS(
  AND(BikePurchase[[#This Row],[Age]]&gt;=18, BikePurchase[[#This Row],[Age]]&lt;=30), "Adolescent",
  AND(BikePurchase[[#This Row],[Age]]&gt;30, BikePurchase[[#This Row],[Age]]&lt;55), "Middle Aged",
  AND(BikePurchase[[#This Row],[Age]]&gt;=55, BikePurchase[[#This Row],[Age]]&lt;90), "Old",
  TRUE, "Invalid"
)</f>
        <v>Adolescent</v>
      </c>
      <c r="P787" t="s">
        <v>13</v>
      </c>
      <c r="Q787" t="str">
        <f>IF(BikePurchase[[#This Row],[Purchased BikeX]]="No","Not Purchased","Purchased")</f>
        <v>Purchased</v>
      </c>
    </row>
    <row r="788" spans="1:17" x14ac:dyDescent="0.3">
      <c r="A788">
        <v>15468</v>
      </c>
      <c r="B788" t="s">
        <v>30</v>
      </c>
      <c r="C788" t="str">
        <f t="shared" si="24"/>
        <v>Married</v>
      </c>
      <c r="D788" t="s">
        <v>29</v>
      </c>
      <c r="E788" t="str">
        <f t="shared" si="25"/>
        <v>Female</v>
      </c>
      <c r="F788" s="2">
        <v>50000</v>
      </c>
      <c r="G788">
        <v>1</v>
      </c>
      <c r="H788" t="s">
        <v>11</v>
      </c>
      <c r="I788" t="s">
        <v>12</v>
      </c>
      <c r="J788" t="s">
        <v>13</v>
      </c>
      <c r="K788">
        <v>1</v>
      </c>
      <c r="L788" t="s">
        <v>35</v>
      </c>
      <c r="M788" t="s">
        <v>28</v>
      </c>
      <c r="N788" s="2">
        <v>35</v>
      </c>
      <c r="O788" t="str" cm="1">
        <f t="array" ref="O788">_xlfn.IFS(
  AND(BikePurchase[[#This Row],[Age]]&gt;=18, BikePurchase[[#This Row],[Age]]&lt;=30), "Adolescent",
  AND(BikePurchase[[#This Row],[Age]]&gt;30, BikePurchase[[#This Row],[Age]]&lt;55), "Middle Aged",
  AND(BikePurchase[[#This Row],[Age]]&gt;=55, BikePurchase[[#This Row],[Age]]&lt;90), "Old",
  TRUE, "Invalid"
)</f>
        <v>Middle Aged</v>
      </c>
      <c r="P788" t="s">
        <v>15</v>
      </c>
      <c r="Q788" t="str">
        <f>IF(BikePurchase[[#This Row],[Purchased BikeX]]="No","Not Purchased","Purchased")</f>
        <v>Not Purchased</v>
      </c>
    </row>
    <row r="789" spans="1:17" x14ac:dyDescent="0.3">
      <c r="A789">
        <v>28031</v>
      </c>
      <c r="B789" t="s">
        <v>31</v>
      </c>
      <c r="C789" t="str">
        <f t="shared" si="24"/>
        <v>Single</v>
      </c>
      <c r="D789" t="s">
        <v>29</v>
      </c>
      <c r="E789" t="str">
        <f t="shared" si="25"/>
        <v>Female</v>
      </c>
      <c r="F789" s="2">
        <v>70000</v>
      </c>
      <c r="G789">
        <v>2</v>
      </c>
      <c r="H789" t="s">
        <v>11</v>
      </c>
      <c r="I789" t="s">
        <v>25</v>
      </c>
      <c r="J789" t="s">
        <v>15</v>
      </c>
      <c r="K789">
        <v>1</v>
      </c>
      <c r="L789" t="s">
        <v>19</v>
      </c>
      <c r="M789" t="s">
        <v>28</v>
      </c>
      <c r="N789" s="2">
        <v>59</v>
      </c>
      <c r="O789" t="str" cm="1">
        <f t="array" ref="O789">_xlfn.IFS(
  AND(BikePurchase[[#This Row],[Age]]&gt;=18, BikePurchase[[#This Row],[Age]]&lt;=30), "Adolescent",
  AND(BikePurchase[[#This Row],[Age]]&gt;30, BikePurchase[[#This Row],[Age]]&lt;55), "Middle Aged",
  AND(BikePurchase[[#This Row],[Age]]&gt;=55, BikePurchase[[#This Row],[Age]]&lt;90), "Old",
  TRUE, "Invalid"
)</f>
        <v>Old</v>
      </c>
      <c r="P789" t="s">
        <v>13</v>
      </c>
      <c r="Q789" t="str">
        <f>IF(BikePurchase[[#This Row],[Purchased BikeX]]="No","Not Purchased","Purchased")</f>
        <v>Purchased</v>
      </c>
    </row>
    <row r="790" spans="1:17" x14ac:dyDescent="0.3">
      <c r="A790">
        <v>26270</v>
      </c>
      <c r="B790" t="s">
        <v>31</v>
      </c>
      <c r="C790" t="str">
        <f t="shared" si="24"/>
        <v>Single</v>
      </c>
      <c r="D790" t="s">
        <v>29</v>
      </c>
      <c r="E790" t="str">
        <f t="shared" si="25"/>
        <v>Female</v>
      </c>
      <c r="F790" s="2">
        <v>20000</v>
      </c>
      <c r="G790">
        <v>2</v>
      </c>
      <c r="H790" t="s">
        <v>26</v>
      </c>
      <c r="I790" t="s">
        <v>17</v>
      </c>
      <c r="J790" t="s">
        <v>13</v>
      </c>
      <c r="K790">
        <v>2</v>
      </c>
      <c r="L790" t="s">
        <v>23</v>
      </c>
      <c r="M790" t="s">
        <v>28</v>
      </c>
      <c r="N790" s="2">
        <v>49</v>
      </c>
      <c r="O790" t="str" cm="1">
        <f t="array" ref="O790">_xlfn.IFS(
  AND(BikePurchase[[#This Row],[Age]]&gt;=18, BikePurchase[[#This Row],[Age]]&lt;=30), "Adolescent",
  AND(BikePurchase[[#This Row],[Age]]&gt;30, BikePurchase[[#This Row],[Age]]&lt;55), "Middle Aged",
  AND(BikePurchase[[#This Row],[Age]]&gt;=55, BikePurchase[[#This Row],[Age]]&lt;90), "Old",
  TRUE, "Invalid"
)</f>
        <v>Middle Aged</v>
      </c>
      <c r="P790" t="s">
        <v>15</v>
      </c>
      <c r="Q790" t="str">
        <f>IF(BikePurchase[[#This Row],[Purchased BikeX]]="No","Not Purchased","Purchased")</f>
        <v>Not Purchased</v>
      </c>
    </row>
    <row r="791" spans="1:17" x14ac:dyDescent="0.3">
      <c r="A791">
        <v>22221</v>
      </c>
      <c r="B791" t="s">
        <v>30</v>
      </c>
      <c r="C791" t="str">
        <f t="shared" si="24"/>
        <v>Married</v>
      </c>
      <c r="D791" t="s">
        <v>30</v>
      </c>
      <c r="E791" t="str">
        <f t="shared" si="25"/>
        <v>Male</v>
      </c>
      <c r="F791" s="2">
        <v>60000</v>
      </c>
      <c r="G791">
        <v>2</v>
      </c>
      <c r="H791" t="s">
        <v>24</v>
      </c>
      <c r="I791" t="s">
        <v>18</v>
      </c>
      <c r="J791" t="s">
        <v>15</v>
      </c>
      <c r="K791">
        <v>2</v>
      </c>
      <c r="L791" t="s">
        <v>23</v>
      </c>
      <c r="M791" t="s">
        <v>28</v>
      </c>
      <c r="N791" s="2">
        <v>48</v>
      </c>
      <c r="O791" t="str" cm="1">
        <f t="array" ref="O791">_xlfn.IFS(
  AND(BikePurchase[[#This Row],[Age]]&gt;=18, BikePurchase[[#This Row],[Age]]&lt;=30), "Adolescent",
  AND(BikePurchase[[#This Row],[Age]]&gt;30, BikePurchase[[#This Row],[Age]]&lt;55), "Middle Aged",
  AND(BikePurchase[[#This Row],[Age]]&gt;=55, BikePurchase[[#This Row],[Age]]&lt;90), "Old",
  TRUE, "Invalid"
)</f>
        <v>Middle Aged</v>
      </c>
      <c r="P791" t="s">
        <v>13</v>
      </c>
      <c r="Q791" t="str">
        <f>IF(BikePurchase[[#This Row],[Purchased BikeX]]="No","Not Purchased","Purchased")</f>
        <v>Purchased</v>
      </c>
    </row>
    <row r="792" spans="1:17" x14ac:dyDescent="0.3">
      <c r="A792">
        <v>28228</v>
      </c>
      <c r="B792" t="s">
        <v>31</v>
      </c>
      <c r="C792" t="str">
        <f t="shared" si="24"/>
        <v>Single</v>
      </c>
      <c r="D792" t="s">
        <v>29</v>
      </c>
      <c r="E792" t="str">
        <f t="shared" si="25"/>
        <v>Female</v>
      </c>
      <c r="F792" s="2">
        <v>80000</v>
      </c>
      <c r="G792">
        <v>2</v>
      </c>
      <c r="H792" t="s">
        <v>26</v>
      </c>
      <c r="I792" t="s">
        <v>12</v>
      </c>
      <c r="J792" t="s">
        <v>15</v>
      </c>
      <c r="K792">
        <v>2</v>
      </c>
      <c r="L792" t="s">
        <v>23</v>
      </c>
      <c r="M792" t="s">
        <v>28</v>
      </c>
      <c r="N792" s="2">
        <v>50</v>
      </c>
      <c r="O792" t="str" cm="1">
        <f t="array" ref="O792">_xlfn.IFS(
  AND(BikePurchase[[#This Row],[Age]]&gt;=18, BikePurchase[[#This Row],[Age]]&lt;=30), "Adolescent",
  AND(BikePurchase[[#This Row],[Age]]&gt;30, BikePurchase[[#This Row],[Age]]&lt;55), "Middle Aged",
  AND(BikePurchase[[#This Row],[Age]]&gt;=55, BikePurchase[[#This Row],[Age]]&lt;90), "Old",
  TRUE, "Invalid"
)</f>
        <v>Middle Aged</v>
      </c>
      <c r="P792" t="s">
        <v>15</v>
      </c>
      <c r="Q792" t="str">
        <f>IF(BikePurchase[[#This Row],[Purchased BikeX]]="No","Not Purchased","Purchased")</f>
        <v>Not Purchased</v>
      </c>
    </row>
    <row r="793" spans="1:17" x14ac:dyDescent="0.3">
      <c r="A793">
        <v>18363</v>
      </c>
      <c r="B793" t="s">
        <v>30</v>
      </c>
      <c r="C793" t="str">
        <f t="shared" si="24"/>
        <v>Married</v>
      </c>
      <c r="D793" t="s">
        <v>30</v>
      </c>
      <c r="E793" t="str">
        <f t="shared" si="25"/>
        <v>Male</v>
      </c>
      <c r="F793" s="2">
        <v>40000</v>
      </c>
      <c r="G793">
        <v>0</v>
      </c>
      <c r="H793" t="s">
        <v>24</v>
      </c>
      <c r="I793" t="s">
        <v>12</v>
      </c>
      <c r="J793" t="s">
        <v>13</v>
      </c>
      <c r="K793">
        <v>2</v>
      </c>
      <c r="L793" t="s">
        <v>20</v>
      </c>
      <c r="M793" t="s">
        <v>28</v>
      </c>
      <c r="N793" s="2">
        <v>28</v>
      </c>
      <c r="O793" t="str" cm="1">
        <f t="array" ref="O793">_xlfn.IFS(
  AND(BikePurchase[[#This Row],[Age]]&gt;=18, BikePurchase[[#This Row],[Age]]&lt;=30), "Adolescent",
  AND(BikePurchase[[#This Row],[Age]]&gt;30, BikePurchase[[#This Row],[Age]]&lt;55), "Middle Aged",
  AND(BikePurchase[[#This Row],[Age]]&gt;=55, BikePurchase[[#This Row],[Age]]&lt;90), "Old",
  TRUE, "Invalid"
)</f>
        <v>Adolescent</v>
      </c>
      <c r="P793" t="s">
        <v>13</v>
      </c>
      <c r="Q793" t="str">
        <f>IF(BikePurchase[[#This Row],[Purchased BikeX]]="No","Not Purchased","Purchased")</f>
        <v>Purchased</v>
      </c>
    </row>
    <row r="794" spans="1:17" x14ac:dyDescent="0.3">
      <c r="A794">
        <v>23256</v>
      </c>
      <c r="B794" t="s">
        <v>31</v>
      </c>
      <c r="C794" t="str">
        <f t="shared" si="24"/>
        <v>Single</v>
      </c>
      <c r="D794" t="s">
        <v>30</v>
      </c>
      <c r="E794" t="str">
        <f t="shared" si="25"/>
        <v>Male</v>
      </c>
      <c r="F794" s="2">
        <v>30000</v>
      </c>
      <c r="G794">
        <v>1</v>
      </c>
      <c r="H794" t="s">
        <v>24</v>
      </c>
      <c r="I794" t="s">
        <v>17</v>
      </c>
      <c r="J794" t="s">
        <v>15</v>
      </c>
      <c r="K794">
        <v>1</v>
      </c>
      <c r="L794" t="s">
        <v>20</v>
      </c>
      <c r="M794" t="s">
        <v>28</v>
      </c>
      <c r="N794" s="2">
        <v>52</v>
      </c>
      <c r="O794" t="str" cm="1">
        <f t="array" ref="O794">_xlfn.IFS(
  AND(BikePurchase[[#This Row],[Age]]&gt;=18, BikePurchase[[#This Row],[Age]]&lt;=30), "Adolescent",
  AND(BikePurchase[[#This Row],[Age]]&gt;30, BikePurchase[[#This Row],[Age]]&lt;55), "Middle Aged",
  AND(BikePurchase[[#This Row],[Age]]&gt;=55, BikePurchase[[#This Row],[Age]]&lt;90), "Old",
  TRUE, "Invalid"
)</f>
        <v>Middle Aged</v>
      </c>
      <c r="P794" t="s">
        <v>15</v>
      </c>
      <c r="Q794" t="str">
        <f>IF(BikePurchase[[#This Row],[Purchased BikeX]]="No","Not Purchased","Purchased")</f>
        <v>Not Purchased</v>
      </c>
    </row>
    <row r="795" spans="1:17" x14ac:dyDescent="0.3">
      <c r="A795">
        <v>12768</v>
      </c>
      <c r="B795" t="s">
        <v>30</v>
      </c>
      <c r="C795" t="str">
        <f t="shared" si="24"/>
        <v>Married</v>
      </c>
      <c r="D795" t="s">
        <v>30</v>
      </c>
      <c r="E795" t="str">
        <f t="shared" si="25"/>
        <v>Male</v>
      </c>
      <c r="F795" s="2">
        <v>30000</v>
      </c>
      <c r="G795">
        <v>1</v>
      </c>
      <c r="H795" t="s">
        <v>24</v>
      </c>
      <c r="I795" t="s">
        <v>17</v>
      </c>
      <c r="J795" t="s">
        <v>13</v>
      </c>
      <c r="K795">
        <v>1</v>
      </c>
      <c r="L795" t="s">
        <v>19</v>
      </c>
      <c r="M795" t="s">
        <v>28</v>
      </c>
      <c r="N795" s="2">
        <v>52</v>
      </c>
      <c r="O795" t="str" cm="1">
        <f t="array" ref="O795">_xlfn.IFS(
  AND(BikePurchase[[#This Row],[Age]]&gt;=18, BikePurchase[[#This Row],[Age]]&lt;=30), "Adolescent",
  AND(BikePurchase[[#This Row],[Age]]&gt;30, BikePurchase[[#This Row],[Age]]&lt;55), "Middle Aged",
  AND(BikePurchase[[#This Row],[Age]]&gt;=55, BikePurchase[[#This Row],[Age]]&lt;90), "Old",
  TRUE, "Invalid"
)</f>
        <v>Middle Aged</v>
      </c>
      <c r="P795" t="s">
        <v>13</v>
      </c>
      <c r="Q795" t="str">
        <f>IF(BikePurchase[[#This Row],[Purchased BikeX]]="No","Not Purchased","Purchased")</f>
        <v>Purchased</v>
      </c>
    </row>
    <row r="796" spans="1:17" x14ac:dyDescent="0.3">
      <c r="A796">
        <v>20361</v>
      </c>
      <c r="B796" t="s">
        <v>30</v>
      </c>
      <c r="C796" t="str">
        <f t="shared" si="24"/>
        <v>Married</v>
      </c>
      <c r="D796" t="s">
        <v>30</v>
      </c>
      <c r="E796" t="str">
        <f t="shared" si="25"/>
        <v>Male</v>
      </c>
      <c r="F796" s="2">
        <v>50000</v>
      </c>
      <c r="G796">
        <v>2</v>
      </c>
      <c r="H796" t="s">
        <v>27</v>
      </c>
      <c r="I796" t="s">
        <v>25</v>
      </c>
      <c r="J796" t="s">
        <v>13</v>
      </c>
      <c r="K796">
        <v>2</v>
      </c>
      <c r="L796" t="s">
        <v>20</v>
      </c>
      <c r="M796" t="s">
        <v>28</v>
      </c>
      <c r="N796" s="2">
        <v>69</v>
      </c>
      <c r="O796" t="str" cm="1">
        <f t="array" ref="O796">_xlfn.IFS(
  AND(BikePurchase[[#This Row],[Age]]&gt;=18, BikePurchase[[#This Row],[Age]]&lt;=30), "Adolescent",
  AND(BikePurchase[[#This Row],[Age]]&gt;30, BikePurchase[[#This Row],[Age]]&lt;55), "Middle Aged",
  AND(BikePurchase[[#This Row],[Age]]&gt;=55, BikePurchase[[#This Row],[Age]]&lt;90), "Old",
  TRUE, "Invalid"
)</f>
        <v>Old</v>
      </c>
      <c r="P796" t="s">
        <v>15</v>
      </c>
      <c r="Q796" t="str">
        <f>IF(BikePurchase[[#This Row],[Purchased BikeX]]="No","Not Purchased","Purchased")</f>
        <v>Not Purchased</v>
      </c>
    </row>
    <row r="797" spans="1:17" x14ac:dyDescent="0.3">
      <c r="A797">
        <v>21306</v>
      </c>
      <c r="B797" t="s">
        <v>31</v>
      </c>
      <c r="C797" t="str">
        <f t="shared" si="24"/>
        <v>Single</v>
      </c>
      <c r="D797" t="s">
        <v>30</v>
      </c>
      <c r="E797" t="str">
        <f t="shared" si="25"/>
        <v>Male</v>
      </c>
      <c r="F797" s="2">
        <v>60000</v>
      </c>
      <c r="G797">
        <v>2</v>
      </c>
      <c r="H797" t="s">
        <v>24</v>
      </c>
      <c r="I797" t="s">
        <v>18</v>
      </c>
      <c r="J797" t="s">
        <v>13</v>
      </c>
      <c r="K797">
        <v>2</v>
      </c>
      <c r="L797" t="s">
        <v>20</v>
      </c>
      <c r="M797" t="s">
        <v>28</v>
      </c>
      <c r="N797" s="2">
        <v>51</v>
      </c>
      <c r="O797" t="str" cm="1">
        <f t="array" ref="O797">_xlfn.IFS(
  AND(BikePurchase[[#This Row],[Age]]&gt;=18, BikePurchase[[#This Row],[Age]]&lt;=30), "Adolescent",
  AND(BikePurchase[[#This Row],[Age]]&gt;30, BikePurchase[[#This Row],[Age]]&lt;55), "Middle Aged",
  AND(BikePurchase[[#This Row],[Age]]&gt;=55, BikePurchase[[#This Row],[Age]]&lt;90), "Old",
  TRUE, "Invalid"
)</f>
        <v>Middle Aged</v>
      </c>
      <c r="P797" t="s">
        <v>15</v>
      </c>
      <c r="Q797" t="str">
        <f>IF(BikePurchase[[#This Row],[Purchased BikeX]]="No","Not Purchased","Purchased")</f>
        <v>Not Purchased</v>
      </c>
    </row>
    <row r="798" spans="1:17" x14ac:dyDescent="0.3">
      <c r="A798">
        <v>13382</v>
      </c>
      <c r="B798" t="s">
        <v>30</v>
      </c>
      <c r="C798" t="str">
        <f t="shared" si="24"/>
        <v>Married</v>
      </c>
      <c r="D798" t="s">
        <v>30</v>
      </c>
      <c r="E798" t="str">
        <f t="shared" si="25"/>
        <v>Male</v>
      </c>
      <c r="F798" s="2">
        <v>70000</v>
      </c>
      <c r="G798">
        <v>5</v>
      </c>
      <c r="H798" t="s">
        <v>16</v>
      </c>
      <c r="I798" t="s">
        <v>18</v>
      </c>
      <c r="J798" t="s">
        <v>13</v>
      </c>
      <c r="K798">
        <v>2</v>
      </c>
      <c r="L798" t="s">
        <v>23</v>
      </c>
      <c r="M798" t="s">
        <v>28</v>
      </c>
      <c r="N798" s="2">
        <v>57</v>
      </c>
      <c r="O798" t="str" cm="1">
        <f t="array" ref="O798">_xlfn.IFS(
  AND(BikePurchase[[#This Row],[Age]]&gt;=18, BikePurchase[[#This Row],[Age]]&lt;=30), "Adolescent",
  AND(BikePurchase[[#This Row],[Age]]&gt;30, BikePurchase[[#This Row],[Age]]&lt;55), "Middle Aged",
  AND(BikePurchase[[#This Row],[Age]]&gt;=55, BikePurchase[[#This Row],[Age]]&lt;90), "Old",
  TRUE, "Invalid"
)</f>
        <v>Old</v>
      </c>
      <c r="P798" t="s">
        <v>13</v>
      </c>
      <c r="Q798" t="str">
        <f>IF(BikePurchase[[#This Row],[Purchased BikeX]]="No","Not Purchased","Purchased")</f>
        <v>Purchased</v>
      </c>
    </row>
    <row r="799" spans="1:17" x14ac:dyDescent="0.3">
      <c r="A799">
        <v>20310</v>
      </c>
      <c r="B799" t="s">
        <v>31</v>
      </c>
      <c r="C799" t="str">
        <f t="shared" si="24"/>
        <v>Single</v>
      </c>
      <c r="D799" t="s">
        <v>30</v>
      </c>
      <c r="E799" t="str">
        <f t="shared" si="25"/>
        <v>Male</v>
      </c>
      <c r="F799" s="2">
        <v>60000</v>
      </c>
      <c r="G799">
        <v>0</v>
      </c>
      <c r="H799" t="s">
        <v>16</v>
      </c>
      <c r="I799" t="s">
        <v>12</v>
      </c>
      <c r="J799" t="s">
        <v>13</v>
      </c>
      <c r="K799">
        <v>1</v>
      </c>
      <c r="L799" t="s">
        <v>20</v>
      </c>
      <c r="M799" t="s">
        <v>28</v>
      </c>
      <c r="N799" s="2">
        <v>27</v>
      </c>
      <c r="O799" t="str" cm="1">
        <f t="array" ref="O799">_xlfn.IFS(
  AND(BikePurchase[[#This Row],[Age]]&gt;=18, BikePurchase[[#This Row],[Age]]&lt;=30), "Adolescent",
  AND(BikePurchase[[#This Row],[Age]]&gt;30, BikePurchase[[#This Row],[Age]]&lt;55), "Middle Aged",
  AND(BikePurchase[[#This Row],[Age]]&gt;=55, BikePurchase[[#This Row],[Age]]&lt;90), "Old",
  TRUE, "Invalid"
)</f>
        <v>Adolescent</v>
      </c>
      <c r="P799" t="s">
        <v>13</v>
      </c>
      <c r="Q799" t="str">
        <f>IF(BikePurchase[[#This Row],[Purchased BikeX]]="No","Not Purchased","Purchased")</f>
        <v>Purchased</v>
      </c>
    </row>
    <row r="800" spans="1:17" x14ac:dyDescent="0.3">
      <c r="A800">
        <v>22971</v>
      </c>
      <c r="B800" t="s">
        <v>31</v>
      </c>
      <c r="C800" t="str">
        <f t="shared" si="24"/>
        <v>Single</v>
      </c>
      <c r="D800" t="s">
        <v>29</v>
      </c>
      <c r="E800" t="str">
        <f t="shared" si="25"/>
        <v>Female</v>
      </c>
      <c r="F800" s="2">
        <v>30000</v>
      </c>
      <c r="G800">
        <v>0</v>
      </c>
      <c r="H800" t="s">
        <v>24</v>
      </c>
      <c r="I800" t="s">
        <v>12</v>
      </c>
      <c r="J800" t="s">
        <v>15</v>
      </c>
      <c r="K800">
        <v>2</v>
      </c>
      <c r="L800" t="s">
        <v>35</v>
      </c>
      <c r="M800" t="s">
        <v>28</v>
      </c>
      <c r="N800" s="2">
        <v>25</v>
      </c>
      <c r="O800" t="str" cm="1">
        <f t="array" ref="O800">_xlfn.IFS(
  AND(BikePurchase[[#This Row],[Age]]&gt;=18, BikePurchase[[#This Row],[Age]]&lt;=30), "Adolescent",
  AND(BikePurchase[[#This Row],[Age]]&gt;30, BikePurchase[[#This Row],[Age]]&lt;55), "Middle Aged",
  AND(BikePurchase[[#This Row],[Age]]&gt;=55, BikePurchase[[#This Row],[Age]]&lt;90), "Old",
  TRUE, "Invalid"
)</f>
        <v>Adolescent</v>
      </c>
      <c r="P800" t="s">
        <v>13</v>
      </c>
      <c r="Q800" t="str">
        <f>IF(BikePurchase[[#This Row],[Purchased BikeX]]="No","Not Purchased","Purchased")</f>
        <v>Purchased</v>
      </c>
    </row>
    <row r="801" spans="1:17" x14ac:dyDescent="0.3">
      <c r="A801">
        <v>15287</v>
      </c>
      <c r="B801" t="s">
        <v>31</v>
      </c>
      <c r="C801" t="str">
        <f t="shared" si="24"/>
        <v>Single</v>
      </c>
      <c r="D801" t="s">
        <v>29</v>
      </c>
      <c r="E801" t="str">
        <f t="shared" si="25"/>
        <v>Female</v>
      </c>
      <c r="F801" s="2">
        <v>50000</v>
      </c>
      <c r="G801">
        <v>1</v>
      </c>
      <c r="H801" t="s">
        <v>27</v>
      </c>
      <c r="I801" t="s">
        <v>12</v>
      </c>
      <c r="J801" t="s">
        <v>13</v>
      </c>
      <c r="K801">
        <v>0</v>
      </c>
      <c r="L801" t="s">
        <v>23</v>
      </c>
      <c r="M801" t="s">
        <v>28</v>
      </c>
      <c r="N801" s="2">
        <v>33</v>
      </c>
      <c r="O801" t="str" cm="1">
        <f t="array" ref="O801">_xlfn.IFS(
  AND(BikePurchase[[#This Row],[Age]]&gt;=18, BikePurchase[[#This Row],[Age]]&lt;=30), "Adolescent",
  AND(BikePurchase[[#This Row],[Age]]&gt;30, BikePurchase[[#This Row],[Age]]&lt;55), "Middle Aged",
  AND(BikePurchase[[#This Row],[Age]]&gt;=55, BikePurchase[[#This Row],[Age]]&lt;90), "Old",
  TRUE, "Invalid"
)</f>
        <v>Middle Aged</v>
      </c>
      <c r="P801" t="s">
        <v>13</v>
      </c>
      <c r="Q801" t="str">
        <f>IF(BikePurchase[[#This Row],[Purchased BikeX]]="No","Not Purchased","Purchased")</f>
        <v>Purchased</v>
      </c>
    </row>
    <row r="802" spans="1:17" x14ac:dyDescent="0.3">
      <c r="A802">
        <v>15532</v>
      </c>
      <c r="B802" t="s">
        <v>31</v>
      </c>
      <c r="C802" t="str">
        <f t="shared" si="24"/>
        <v>Single</v>
      </c>
      <c r="D802" t="s">
        <v>30</v>
      </c>
      <c r="E802" t="str">
        <f t="shared" si="25"/>
        <v>Male</v>
      </c>
      <c r="F802" s="2">
        <v>60000</v>
      </c>
      <c r="G802">
        <v>4</v>
      </c>
      <c r="H802" t="s">
        <v>11</v>
      </c>
      <c r="I802" t="s">
        <v>18</v>
      </c>
      <c r="J802" t="s">
        <v>13</v>
      </c>
      <c r="K802">
        <v>2</v>
      </c>
      <c r="L802" t="s">
        <v>19</v>
      </c>
      <c r="M802" t="s">
        <v>28</v>
      </c>
      <c r="N802" s="2">
        <v>43</v>
      </c>
      <c r="O802" t="str" cm="1">
        <f t="array" ref="O802">_xlfn.IFS(
  AND(BikePurchase[[#This Row],[Age]]&gt;=18, BikePurchase[[#This Row],[Age]]&lt;=30), "Adolescent",
  AND(BikePurchase[[#This Row],[Age]]&gt;30, BikePurchase[[#This Row],[Age]]&lt;55), "Middle Aged",
  AND(BikePurchase[[#This Row],[Age]]&gt;=55, BikePurchase[[#This Row],[Age]]&lt;90), "Old",
  TRUE, "Invalid"
)</f>
        <v>Middle Aged</v>
      </c>
      <c r="P802" t="s">
        <v>13</v>
      </c>
      <c r="Q802" t="str">
        <f>IF(BikePurchase[[#This Row],[Purchased BikeX]]="No","Not Purchased","Purchased")</f>
        <v>Purchased</v>
      </c>
    </row>
    <row r="803" spans="1:17" x14ac:dyDescent="0.3">
      <c r="A803">
        <v>11255</v>
      </c>
      <c r="B803" t="s">
        <v>30</v>
      </c>
      <c r="C803" t="str">
        <f t="shared" si="24"/>
        <v>Married</v>
      </c>
      <c r="D803" t="s">
        <v>30</v>
      </c>
      <c r="E803" t="str">
        <f t="shared" si="25"/>
        <v>Male</v>
      </c>
      <c r="F803" s="2">
        <v>70000</v>
      </c>
      <c r="G803">
        <v>4</v>
      </c>
      <c r="H803" t="s">
        <v>27</v>
      </c>
      <c r="I803" t="s">
        <v>25</v>
      </c>
      <c r="J803" t="s">
        <v>13</v>
      </c>
      <c r="K803">
        <v>2</v>
      </c>
      <c r="L803" t="s">
        <v>20</v>
      </c>
      <c r="M803" t="s">
        <v>28</v>
      </c>
      <c r="N803" s="2">
        <v>73</v>
      </c>
      <c r="O803" t="str" cm="1">
        <f t="array" ref="O803">_xlfn.IFS(
  AND(BikePurchase[[#This Row],[Age]]&gt;=18, BikePurchase[[#This Row],[Age]]&lt;=30), "Adolescent",
  AND(BikePurchase[[#This Row],[Age]]&gt;30, BikePurchase[[#This Row],[Age]]&lt;55), "Middle Aged",
  AND(BikePurchase[[#This Row],[Age]]&gt;=55, BikePurchase[[#This Row],[Age]]&lt;90), "Old",
  TRUE, "Invalid"
)</f>
        <v>Old</v>
      </c>
      <c r="P803" t="s">
        <v>15</v>
      </c>
      <c r="Q803" t="str">
        <f>IF(BikePurchase[[#This Row],[Purchased BikeX]]="No","Not Purchased","Purchased")</f>
        <v>Not Purchased</v>
      </c>
    </row>
    <row r="804" spans="1:17" x14ac:dyDescent="0.3">
      <c r="A804">
        <v>28090</v>
      </c>
      <c r="B804" t="s">
        <v>30</v>
      </c>
      <c r="C804" t="str">
        <f t="shared" si="24"/>
        <v>Married</v>
      </c>
      <c r="D804" t="s">
        <v>30</v>
      </c>
      <c r="E804" t="str">
        <f t="shared" si="25"/>
        <v>Male</v>
      </c>
      <c r="F804" s="2">
        <v>40000</v>
      </c>
      <c r="G804">
        <v>0</v>
      </c>
      <c r="H804" t="s">
        <v>16</v>
      </c>
      <c r="I804" t="s">
        <v>12</v>
      </c>
      <c r="J804" t="s">
        <v>13</v>
      </c>
      <c r="K804">
        <v>1</v>
      </c>
      <c r="L804" t="s">
        <v>20</v>
      </c>
      <c r="M804" t="s">
        <v>28</v>
      </c>
      <c r="N804" s="2">
        <v>27</v>
      </c>
      <c r="O804" t="str" cm="1">
        <f t="array" ref="O804">_xlfn.IFS(
  AND(BikePurchase[[#This Row],[Age]]&gt;=18, BikePurchase[[#This Row],[Age]]&lt;=30), "Adolescent",
  AND(BikePurchase[[#This Row],[Age]]&gt;30, BikePurchase[[#This Row],[Age]]&lt;55), "Middle Aged",
  AND(BikePurchase[[#This Row],[Age]]&gt;=55, BikePurchase[[#This Row],[Age]]&lt;90), "Old",
  TRUE, "Invalid"
)</f>
        <v>Adolescent</v>
      </c>
      <c r="P804" t="s">
        <v>15</v>
      </c>
      <c r="Q804" t="str">
        <f>IF(BikePurchase[[#This Row],[Purchased BikeX]]="No","Not Purchased","Purchased")</f>
        <v>Not Purchased</v>
      </c>
    </row>
    <row r="805" spans="1:17" x14ac:dyDescent="0.3">
      <c r="A805">
        <v>15255</v>
      </c>
      <c r="B805" t="s">
        <v>30</v>
      </c>
      <c r="C805" t="str">
        <f t="shared" si="24"/>
        <v>Married</v>
      </c>
      <c r="D805" t="s">
        <v>30</v>
      </c>
      <c r="E805" t="str">
        <f t="shared" si="25"/>
        <v>Male</v>
      </c>
      <c r="F805" s="2">
        <v>40000</v>
      </c>
      <c r="G805">
        <v>0</v>
      </c>
      <c r="H805" t="s">
        <v>24</v>
      </c>
      <c r="I805" t="s">
        <v>12</v>
      </c>
      <c r="J805" t="s">
        <v>13</v>
      </c>
      <c r="K805">
        <v>2</v>
      </c>
      <c r="L805" t="s">
        <v>20</v>
      </c>
      <c r="M805" t="s">
        <v>28</v>
      </c>
      <c r="N805" s="2">
        <v>28</v>
      </c>
      <c r="O805" t="str" cm="1">
        <f t="array" ref="O805">_xlfn.IFS(
  AND(BikePurchase[[#This Row],[Age]]&gt;=18, BikePurchase[[#This Row],[Age]]&lt;=30), "Adolescent",
  AND(BikePurchase[[#This Row],[Age]]&gt;30, BikePurchase[[#This Row],[Age]]&lt;55), "Middle Aged",
  AND(BikePurchase[[#This Row],[Age]]&gt;=55, BikePurchase[[#This Row],[Age]]&lt;90), "Old",
  TRUE, "Invalid"
)</f>
        <v>Adolescent</v>
      </c>
      <c r="P805" t="s">
        <v>13</v>
      </c>
      <c r="Q805" t="str">
        <f>IF(BikePurchase[[#This Row],[Purchased BikeX]]="No","Not Purchased","Purchased")</f>
        <v>Purchased</v>
      </c>
    </row>
    <row r="806" spans="1:17" x14ac:dyDescent="0.3">
      <c r="A806">
        <v>13154</v>
      </c>
      <c r="B806" t="s">
        <v>30</v>
      </c>
      <c r="C806" t="str">
        <f t="shared" si="24"/>
        <v>Married</v>
      </c>
      <c r="D806" t="s">
        <v>30</v>
      </c>
      <c r="E806" t="str">
        <f t="shared" si="25"/>
        <v>Male</v>
      </c>
      <c r="F806" s="2">
        <v>40000</v>
      </c>
      <c r="G806">
        <v>0</v>
      </c>
      <c r="H806" t="s">
        <v>24</v>
      </c>
      <c r="I806" t="s">
        <v>12</v>
      </c>
      <c r="J806" t="s">
        <v>15</v>
      </c>
      <c r="K806">
        <v>2</v>
      </c>
      <c r="L806" t="s">
        <v>35</v>
      </c>
      <c r="M806" t="s">
        <v>28</v>
      </c>
      <c r="N806" s="2">
        <v>27</v>
      </c>
      <c r="O806" t="str" cm="1">
        <f t="array" ref="O806">_xlfn.IFS(
  AND(BikePurchase[[#This Row],[Age]]&gt;=18, BikePurchase[[#This Row],[Age]]&lt;=30), "Adolescent",
  AND(BikePurchase[[#This Row],[Age]]&gt;30, BikePurchase[[#This Row],[Age]]&lt;55), "Middle Aged",
  AND(BikePurchase[[#This Row],[Age]]&gt;=55, BikePurchase[[#This Row],[Age]]&lt;90), "Old",
  TRUE, "Invalid"
)</f>
        <v>Adolescent</v>
      </c>
      <c r="P806" t="s">
        <v>13</v>
      </c>
      <c r="Q806" t="str">
        <f>IF(BikePurchase[[#This Row],[Purchased BikeX]]="No","Not Purchased","Purchased")</f>
        <v>Purchased</v>
      </c>
    </row>
    <row r="807" spans="1:17" x14ac:dyDescent="0.3">
      <c r="A807">
        <v>26778</v>
      </c>
      <c r="B807" t="s">
        <v>31</v>
      </c>
      <c r="C807" t="str">
        <f t="shared" si="24"/>
        <v>Single</v>
      </c>
      <c r="D807" t="s">
        <v>29</v>
      </c>
      <c r="E807" t="str">
        <f t="shared" si="25"/>
        <v>Female</v>
      </c>
      <c r="F807" s="2">
        <v>40000</v>
      </c>
      <c r="G807">
        <v>0</v>
      </c>
      <c r="H807" t="s">
        <v>24</v>
      </c>
      <c r="I807" t="s">
        <v>12</v>
      </c>
      <c r="J807" t="s">
        <v>13</v>
      </c>
      <c r="K807">
        <v>2</v>
      </c>
      <c r="L807" t="s">
        <v>20</v>
      </c>
      <c r="M807" t="s">
        <v>28</v>
      </c>
      <c r="N807" s="2">
        <v>31</v>
      </c>
      <c r="O807" t="str" cm="1">
        <f t="array" ref="O807">_xlfn.IFS(
  AND(BikePurchase[[#This Row],[Age]]&gt;=18, BikePurchase[[#This Row],[Age]]&lt;=30), "Adolescent",
  AND(BikePurchase[[#This Row],[Age]]&gt;30, BikePurchase[[#This Row],[Age]]&lt;55), "Middle Aged",
  AND(BikePurchase[[#This Row],[Age]]&gt;=55, BikePurchase[[#This Row],[Age]]&lt;90), "Old",
  TRUE, "Invalid"
)</f>
        <v>Middle Aged</v>
      </c>
      <c r="P807" t="s">
        <v>15</v>
      </c>
      <c r="Q807" t="str">
        <f>IF(BikePurchase[[#This Row],[Purchased BikeX]]="No","Not Purchased","Purchased")</f>
        <v>Not Purchased</v>
      </c>
    </row>
    <row r="808" spans="1:17" x14ac:dyDescent="0.3">
      <c r="A808">
        <v>23248</v>
      </c>
      <c r="B808" t="s">
        <v>30</v>
      </c>
      <c r="C808" t="str">
        <f t="shared" si="24"/>
        <v>Married</v>
      </c>
      <c r="D808" t="s">
        <v>29</v>
      </c>
      <c r="E808" t="str">
        <f t="shared" si="25"/>
        <v>Female</v>
      </c>
      <c r="F808" s="2">
        <v>10000</v>
      </c>
      <c r="G808">
        <v>2</v>
      </c>
      <c r="H808" t="s">
        <v>24</v>
      </c>
      <c r="I808" t="s">
        <v>22</v>
      </c>
      <c r="J808" t="s">
        <v>13</v>
      </c>
      <c r="K808">
        <v>2</v>
      </c>
      <c r="L808" t="s">
        <v>23</v>
      </c>
      <c r="M808" t="s">
        <v>28</v>
      </c>
      <c r="N808" s="2">
        <v>53</v>
      </c>
      <c r="O808" t="str" cm="1">
        <f t="array" ref="O808">_xlfn.IFS(
  AND(BikePurchase[[#This Row],[Age]]&gt;=18, BikePurchase[[#This Row],[Age]]&lt;=30), "Adolescent",
  AND(BikePurchase[[#This Row],[Age]]&gt;30, BikePurchase[[#This Row],[Age]]&lt;55), "Middle Aged",
  AND(BikePurchase[[#This Row],[Age]]&gt;=55, BikePurchase[[#This Row],[Age]]&lt;90), "Old",
  TRUE, "Invalid"
)</f>
        <v>Middle Aged</v>
      </c>
      <c r="P808" t="s">
        <v>15</v>
      </c>
      <c r="Q808" t="str">
        <f>IF(BikePurchase[[#This Row],[Purchased BikeX]]="No","Not Purchased","Purchased")</f>
        <v>Not Purchased</v>
      </c>
    </row>
    <row r="809" spans="1:17" x14ac:dyDescent="0.3">
      <c r="A809">
        <v>21417</v>
      </c>
      <c r="B809" t="s">
        <v>31</v>
      </c>
      <c r="C809" t="str">
        <f t="shared" si="24"/>
        <v>Single</v>
      </c>
      <c r="D809" t="s">
        <v>29</v>
      </c>
      <c r="E809" t="str">
        <f t="shared" si="25"/>
        <v>Female</v>
      </c>
      <c r="F809" s="2">
        <v>60000</v>
      </c>
      <c r="G809">
        <v>0</v>
      </c>
      <c r="H809" t="s">
        <v>16</v>
      </c>
      <c r="I809" t="s">
        <v>18</v>
      </c>
      <c r="J809" t="s">
        <v>15</v>
      </c>
      <c r="K809">
        <v>2</v>
      </c>
      <c r="L809" t="s">
        <v>23</v>
      </c>
      <c r="M809" t="s">
        <v>28</v>
      </c>
      <c r="N809" s="2">
        <v>32</v>
      </c>
      <c r="O809" t="str" cm="1">
        <f t="array" ref="O809">_xlfn.IFS(
  AND(BikePurchase[[#This Row],[Age]]&gt;=18, BikePurchase[[#This Row],[Age]]&lt;=30), "Adolescent",
  AND(BikePurchase[[#This Row],[Age]]&gt;30, BikePurchase[[#This Row],[Age]]&lt;55), "Middle Aged",
  AND(BikePurchase[[#This Row],[Age]]&gt;=55, BikePurchase[[#This Row],[Age]]&lt;90), "Old",
  TRUE, "Invalid"
)</f>
        <v>Middle Aged</v>
      </c>
      <c r="P809" t="s">
        <v>13</v>
      </c>
      <c r="Q809" t="str">
        <f>IF(BikePurchase[[#This Row],[Purchased BikeX]]="No","Not Purchased","Purchased")</f>
        <v>Purchased</v>
      </c>
    </row>
    <row r="810" spans="1:17" x14ac:dyDescent="0.3">
      <c r="A810">
        <v>17668</v>
      </c>
      <c r="B810" t="s">
        <v>31</v>
      </c>
      <c r="C810" t="str">
        <f t="shared" si="24"/>
        <v>Single</v>
      </c>
      <c r="D810" t="s">
        <v>30</v>
      </c>
      <c r="E810" t="str">
        <f t="shared" si="25"/>
        <v>Male</v>
      </c>
      <c r="F810" s="2">
        <v>30000</v>
      </c>
      <c r="G810">
        <v>2</v>
      </c>
      <c r="H810" t="s">
        <v>24</v>
      </c>
      <c r="I810" t="s">
        <v>12</v>
      </c>
      <c r="J810" t="s">
        <v>13</v>
      </c>
      <c r="K810">
        <v>2</v>
      </c>
      <c r="L810" t="s">
        <v>23</v>
      </c>
      <c r="M810" t="s">
        <v>28</v>
      </c>
      <c r="N810" s="2">
        <v>50</v>
      </c>
      <c r="O810" t="str" cm="1">
        <f t="array" ref="O810">_xlfn.IFS(
  AND(BikePurchase[[#This Row],[Age]]&gt;=18, BikePurchase[[#This Row],[Age]]&lt;=30), "Adolescent",
  AND(BikePurchase[[#This Row],[Age]]&gt;30, BikePurchase[[#This Row],[Age]]&lt;55), "Middle Aged",
  AND(BikePurchase[[#This Row],[Age]]&gt;=55, BikePurchase[[#This Row],[Age]]&lt;90), "Old",
  TRUE, "Invalid"
)</f>
        <v>Middle Aged</v>
      </c>
      <c r="P810" t="s">
        <v>13</v>
      </c>
      <c r="Q810" t="str">
        <f>IF(BikePurchase[[#This Row],[Purchased BikeX]]="No","Not Purchased","Purchased")</f>
        <v>Purchased</v>
      </c>
    </row>
    <row r="811" spans="1:17" x14ac:dyDescent="0.3">
      <c r="A811">
        <v>27994</v>
      </c>
      <c r="B811" t="s">
        <v>30</v>
      </c>
      <c r="C811" t="str">
        <f t="shared" si="24"/>
        <v>Married</v>
      </c>
      <c r="D811" t="s">
        <v>29</v>
      </c>
      <c r="E811" t="str">
        <f t="shared" si="25"/>
        <v>Female</v>
      </c>
      <c r="F811" s="2">
        <v>40000</v>
      </c>
      <c r="G811">
        <v>4</v>
      </c>
      <c r="H811" t="s">
        <v>24</v>
      </c>
      <c r="I811" t="s">
        <v>18</v>
      </c>
      <c r="J811" t="s">
        <v>13</v>
      </c>
      <c r="K811">
        <v>2</v>
      </c>
      <c r="L811" t="s">
        <v>20</v>
      </c>
      <c r="M811" t="s">
        <v>28</v>
      </c>
      <c r="N811" s="2">
        <v>69</v>
      </c>
      <c r="O811" t="str" cm="1">
        <f t="array" ref="O811">_xlfn.IFS(
  AND(BikePurchase[[#This Row],[Age]]&gt;=18, BikePurchase[[#This Row],[Age]]&lt;=30), "Adolescent",
  AND(BikePurchase[[#This Row],[Age]]&gt;30, BikePurchase[[#This Row],[Age]]&lt;55), "Middle Aged",
  AND(BikePurchase[[#This Row],[Age]]&gt;=55, BikePurchase[[#This Row],[Age]]&lt;90), "Old",
  TRUE, "Invalid"
)</f>
        <v>Old</v>
      </c>
      <c r="P811" t="s">
        <v>15</v>
      </c>
      <c r="Q811" t="str">
        <f>IF(BikePurchase[[#This Row],[Purchased BikeX]]="No","Not Purchased","Purchased")</f>
        <v>Not Purchased</v>
      </c>
    </row>
    <row r="812" spans="1:17" x14ac:dyDescent="0.3">
      <c r="A812">
        <v>20376</v>
      </c>
      <c r="B812" t="s">
        <v>31</v>
      </c>
      <c r="C812" t="str">
        <f t="shared" si="24"/>
        <v>Single</v>
      </c>
      <c r="D812" t="s">
        <v>29</v>
      </c>
      <c r="E812" t="str">
        <f t="shared" si="25"/>
        <v>Female</v>
      </c>
      <c r="F812" s="2">
        <v>70000</v>
      </c>
      <c r="G812">
        <v>3</v>
      </c>
      <c r="H812" t="s">
        <v>27</v>
      </c>
      <c r="I812" t="s">
        <v>25</v>
      </c>
      <c r="J812" t="s">
        <v>13</v>
      </c>
      <c r="K812">
        <v>2</v>
      </c>
      <c r="L812" t="s">
        <v>20</v>
      </c>
      <c r="M812" t="s">
        <v>28</v>
      </c>
      <c r="N812" s="2">
        <v>52</v>
      </c>
      <c r="O812" t="str" cm="1">
        <f t="array" ref="O812">_xlfn.IFS(
  AND(BikePurchase[[#This Row],[Age]]&gt;=18, BikePurchase[[#This Row],[Age]]&lt;=30), "Adolescent",
  AND(BikePurchase[[#This Row],[Age]]&gt;30, BikePurchase[[#This Row],[Age]]&lt;55), "Middle Aged",
  AND(BikePurchase[[#This Row],[Age]]&gt;=55, BikePurchase[[#This Row],[Age]]&lt;90), "Old",
  TRUE, "Invalid"
)</f>
        <v>Middle Aged</v>
      </c>
      <c r="P812" t="s">
        <v>13</v>
      </c>
      <c r="Q812" t="str">
        <f>IF(BikePurchase[[#This Row],[Purchased BikeX]]="No","Not Purchased","Purchased")</f>
        <v>Purchased</v>
      </c>
    </row>
    <row r="813" spans="1:17" x14ac:dyDescent="0.3">
      <c r="A813">
        <v>25954</v>
      </c>
      <c r="B813" t="s">
        <v>30</v>
      </c>
      <c r="C813" t="str">
        <f t="shared" si="24"/>
        <v>Married</v>
      </c>
      <c r="D813" t="s">
        <v>30</v>
      </c>
      <c r="E813" t="str">
        <f t="shared" si="25"/>
        <v>Male</v>
      </c>
      <c r="F813" s="2">
        <v>60000</v>
      </c>
      <c r="G813">
        <v>0</v>
      </c>
      <c r="H813" t="s">
        <v>16</v>
      </c>
      <c r="I813" t="s">
        <v>12</v>
      </c>
      <c r="J813" t="s">
        <v>15</v>
      </c>
      <c r="K813">
        <v>2</v>
      </c>
      <c r="L813" t="s">
        <v>23</v>
      </c>
      <c r="M813" t="s">
        <v>28</v>
      </c>
      <c r="N813" s="2">
        <v>31</v>
      </c>
      <c r="O813" t="str" cm="1">
        <f t="array" ref="O813">_xlfn.IFS(
  AND(BikePurchase[[#This Row],[Age]]&gt;=18, BikePurchase[[#This Row],[Age]]&lt;=30), "Adolescent",
  AND(BikePurchase[[#This Row],[Age]]&gt;30, BikePurchase[[#This Row],[Age]]&lt;55), "Middle Aged",
  AND(BikePurchase[[#This Row],[Age]]&gt;=55, BikePurchase[[#This Row],[Age]]&lt;90), "Old",
  TRUE, "Invalid"
)</f>
        <v>Middle Aged</v>
      </c>
      <c r="P813" t="s">
        <v>15</v>
      </c>
      <c r="Q813" t="str">
        <f>IF(BikePurchase[[#This Row],[Purchased BikeX]]="No","Not Purchased","Purchased")</f>
        <v>Not Purchased</v>
      </c>
    </row>
    <row r="814" spans="1:17" x14ac:dyDescent="0.3">
      <c r="A814">
        <v>15749</v>
      </c>
      <c r="B814" t="s">
        <v>31</v>
      </c>
      <c r="C814" t="str">
        <f t="shared" si="24"/>
        <v>Single</v>
      </c>
      <c r="D814" t="s">
        <v>29</v>
      </c>
      <c r="E814" t="str">
        <f t="shared" si="25"/>
        <v>Female</v>
      </c>
      <c r="F814" s="2">
        <v>70000</v>
      </c>
      <c r="G814">
        <v>4</v>
      </c>
      <c r="H814" t="s">
        <v>11</v>
      </c>
      <c r="I814" t="s">
        <v>25</v>
      </c>
      <c r="J814" t="s">
        <v>13</v>
      </c>
      <c r="K814">
        <v>2</v>
      </c>
      <c r="L814" t="s">
        <v>48</v>
      </c>
      <c r="M814" t="s">
        <v>28</v>
      </c>
      <c r="N814" s="2">
        <v>61</v>
      </c>
      <c r="O814" t="str" cm="1">
        <f t="array" ref="O814">_xlfn.IFS(
  AND(BikePurchase[[#This Row],[Age]]&gt;=18, BikePurchase[[#This Row],[Age]]&lt;=30), "Adolescent",
  AND(BikePurchase[[#This Row],[Age]]&gt;30, BikePurchase[[#This Row],[Age]]&lt;55), "Middle Aged",
  AND(BikePurchase[[#This Row],[Age]]&gt;=55, BikePurchase[[#This Row],[Age]]&lt;90), "Old",
  TRUE, "Invalid"
)</f>
        <v>Old</v>
      </c>
      <c r="P814" t="s">
        <v>15</v>
      </c>
      <c r="Q814" t="str">
        <f>IF(BikePurchase[[#This Row],[Purchased BikeX]]="No","Not Purchased","Purchased")</f>
        <v>Not Purchased</v>
      </c>
    </row>
    <row r="815" spans="1:17" x14ac:dyDescent="0.3">
      <c r="A815">
        <v>25899</v>
      </c>
      <c r="B815" t="s">
        <v>30</v>
      </c>
      <c r="C815" t="str">
        <f t="shared" si="24"/>
        <v>Married</v>
      </c>
      <c r="D815" t="s">
        <v>29</v>
      </c>
      <c r="E815" t="str">
        <f t="shared" si="25"/>
        <v>Female</v>
      </c>
      <c r="F815" s="2">
        <v>70000</v>
      </c>
      <c r="G815">
        <v>2</v>
      </c>
      <c r="H815" t="s">
        <v>24</v>
      </c>
      <c r="I815" t="s">
        <v>18</v>
      </c>
      <c r="J815" t="s">
        <v>13</v>
      </c>
      <c r="K815">
        <v>2</v>
      </c>
      <c r="L815" t="s">
        <v>48</v>
      </c>
      <c r="M815" t="s">
        <v>28</v>
      </c>
      <c r="N815" s="2">
        <v>53</v>
      </c>
      <c r="O815" t="str" cm="1">
        <f t="array" ref="O815">_xlfn.IFS(
  AND(BikePurchase[[#This Row],[Age]]&gt;=18, BikePurchase[[#This Row],[Age]]&lt;=30), "Adolescent",
  AND(BikePurchase[[#This Row],[Age]]&gt;30, BikePurchase[[#This Row],[Age]]&lt;55), "Middle Aged",
  AND(BikePurchase[[#This Row],[Age]]&gt;=55, BikePurchase[[#This Row],[Age]]&lt;90), "Old",
  TRUE, "Invalid"
)</f>
        <v>Middle Aged</v>
      </c>
      <c r="P815" t="s">
        <v>15</v>
      </c>
      <c r="Q815" t="str">
        <f>IF(BikePurchase[[#This Row],[Purchased BikeX]]="No","Not Purchased","Purchased")</f>
        <v>Not Purchased</v>
      </c>
    </row>
    <row r="816" spans="1:17" x14ac:dyDescent="0.3">
      <c r="A816">
        <v>13351</v>
      </c>
      <c r="B816" t="s">
        <v>31</v>
      </c>
      <c r="C816" t="str">
        <f t="shared" si="24"/>
        <v>Single</v>
      </c>
      <c r="D816" t="s">
        <v>29</v>
      </c>
      <c r="E816" t="str">
        <f t="shared" si="25"/>
        <v>Female</v>
      </c>
      <c r="F816" s="2">
        <v>70000</v>
      </c>
      <c r="G816">
        <v>4</v>
      </c>
      <c r="H816" t="s">
        <v>11</v>
      </c>
      <c r="I816" t="s">
        <v>25</v>
      </c>
      <c r="J816" t="s">
        <v>13</v>
      </c>
      <c r="K816">
        <v>2</v>
      </c>
      <c r="L816" t="s">
        <v>23</v>
      </c>
      <c r="M816" t="s">
        <v>28</v>
      </c>
      <c r="N816" s="2">
        <v>62</v>
      </c>
      <c r="O816" t="str" cm="1">
        <f t="array" ref="O816">_xlfn.IFS(
  AND(BikePurchase[[#This Row],[Age]]&gt;=18, BikePurchase[[#This Row],[Age]]&lt;=30), "Adolescent",
  AND(BikePurchase[[#This Row],[Age]]&gt;30, BikePurchase[[#This Row],[Age]]&lt;55), "Middle Aged",
  AND(BikePurchase[[#This Row],[Age]]&gt;=55, BikePurchase[[#This Row],[Age]]&lt;90), "Old",
  TRUE, "Invalid"
)</f>
        <v>Old</v>
      </c>
      <c r="P816" t="s">
        <v>13</v>
      </c>
      <c r="Q816" t="str">
        <f>IF(BikePurchase[[#This Row],[Purchased BikeX]]="No","Not Purchased","Purchased")</f>
        <v>Purchased</v>
      </c>
    </row>
    <row r="817" spans="1:17" x14ac:dyDescent="0.3">
      <c r="A817">
        <v>23333</v>
      </c>
      <c r="B817" t="s">
        <v>30</v>
      </c>
      <c r="C817" t="str">
        <f t="shared" si="24"/>
        <v>Married</v>
      </c>
      <c r="D817" t="s">
        <v>30</v>
      </c>
      <c r="E817" t="str">
        <f t="shared" si="25"/>
        <v>Male</v>
      </c>
      <c r="F817" s="2">
        <v>40000</v>
      </c>
      <c r="G817">
        <v>0</v>
      </c>
      <c r="H817" t="s">
        <v>16</v>
      </c>
      <c r="I817" t="s">
        <v>12</v>
      </c>
      <c r="J817" t="s">
        <v>15</v>
      </c>
      <c r="K817">
        <v>2</v>
      </c>
      <c r="L817" t="s">
        <v>23</v>
      </c>
      <c r="M817" t="s">
        <v>28</v>
      </c>
      <c r="N817" s="2">
        <v>30</v>
      </c>
      <c r="O817" t="str" cm="1">
        <f t="array" ref="O817">_xlfn.IFS(
  AND(BikePurchase[[#This Row],[Age]]&gt;=18, BikePurchase[[#This Row],[Age]]&lt;=30), "Adolescent",
  AND(BikePurchase[[#This Row],[Age]]&gt;30, BikePurchase[[#This Row],[Age]]&lt;55), "Middle Aged",
  AND(BikePurchase[[#This Row],[Age]]&gt;=55, BikePurchase[[#This Row],[Age]]&lt;90), "Old",
  TRUE, "Invalid"
)</f>
        <v>Adolescent</v>
      </c>
      <c r="P817" t="s">
        <v>15</v>
      </c>
      <c r="Q817" t="str">
        <f>IF(BikePurchase[[#This Row],[Purchased BikeX]]="No","Not Purchased","Purchased")</f>
        <v>Not Purchased</v>
      </c>
    </row>
    <row r="818" spans="1:17" x14ac:dyDescent="0.3">
      <c r="A818">
        <v>21660</v>
      </c>
      <c r="B818" t="s">
        <v>30</v>
      </c>
      <c r="C818" t="str">
        <f t="shared" si="24"/>
        <v>Married</v>
      </c>
      <c r="D818" t="s">
        <v>29</v>
      </c>
      <c r="E818" t="str">
        <f t="shared" si="25"/>
        <v>Female</v>
      </c>
      <c r="F818" s="2">
        <v>60000</v>
      </c>
      <c r="G818">
        <v>3</v>
      </c>
      <c r="H818" t="s">
        <v>27</v>
      </c>
      <c r="I818" t="s">
        <v>18</v>
      </c>
      <c r="J818" t="s">
        <v>13</v>
      </c>
      <c r="K818">
        <v>0</v>
      </c>
      <c r="L818" t="s">
        <v>19</v>
      </c>
      <c r="M818" t="s">
        <v>28</v>
      </c>
      <c r="N818" s="2">
        <v>43</v>
      </c>
      <c r="O818" t="str" cm="1">
        <f t="array" ref="O818">_xlfn.IFS(
  AND(BikePurchase[[#This Row],[Age]]&gt;=18, BikePurchase[[#This Row],[Age]]&lt;=30), "Adolescent",
  AND(BikePurchase[[#This Row],[Age]]&gt;30, BikePurchase[[#This Row],[Age]]&lt;55), "Middle Aged",
  AND(BikePurchase[[#This Row],[Age]]&gt;=55, BikePurchase[[#This Row],[Age]]&lt;90), "Old",
  TRUE, "Invalid"
)</f>
        <v>Middle Aged</v>
      </c>
      <c r="P818" t="s">
        <v>13</v>
      </c>
      <c r="Q818" t="str">
        <f>IF(BikePurchase[[#This Row],[Purchased BikeX]]="No","Not Purchased","Purchased")</f>
        <v>Purchased</v>
      </c>
    </row>
    <row r="819" spans="1:17" x14ac:dyDescent="0.3">
      <c r="A819">
        <v>17012</v>
      </c>
      <c r="B819" t="s">
        <v>30</v>
      </c>
      <c r="C819" t="str">
        <f t="shared" si="24"/>
        <v>Married</v>
      </c>
      <c r="D819" t="s">
        <v>29</v>
      </c>
      <c r="E819" t="str">
        <f t="shared" si="25"/>
        <v>Female</v>
      </c>
      <c r="F819" s="2">
        <v>60000</v>
      </c>
      <c r="G819">
        <v>3</v>
      </c>
      <c r="H819" t="s">
        <v>27</v>
      </c>
      <c r="I819" t="s">
        <v>18</v>
      </c>
      <c r="J819" t="s">
        <v>13</v>
      </c>
      <c r="K819">
        <v>0</v>
      </c>
      <c r="L819" t="s">
        <v>19</v>
      </c>
      <c r="M819" t="s">
        <v>28</v>
      </c>
      <c r="N819" s="2">
        <v>42</v>
      </c>
      <c r="O819" t="str" cm="1">
        <f t="array" ref="O819">_xlfn.IFS(
  AND(BikePurchase[[#This Row],[Age]]&gt;=18, BikePurchase[[#This Row],[Age]]&lt;=30), "Adolescent",
  AND(BikePurchase[[#This Row],[Age]]&gt;30, BikePurchase[[#This Row],[Age]]&lt;55), "Middle Aged",
  AND(BikePurchase[[#This Row],[Age]]&gt;=55, BikePurchase[[#This Row],[Age]]&lt;90), "Old",
  TRUE, "Invalid"
)</f>
        <v>Middle Aged</v>
      </c>
      <c r="P819" t="s">
        <v>13</v>
      </c>
      <c r="Q819" t="str">
        <f>IF(BikePurchase[[#This Row],[Purchased BikeX]]="No","Not Purchased","Purchased")</f>
        <v>Purchased</v>
      </c>
    </row>
    <row r="820" spans="1:17" x14ac:dyDescent="0.3">
      <c r="A820">
        <v>24514</v>
      </c>
      <c r="B820" t="s">
        <v>30</v>
      </c>
      <c r="C820" t="str">
        <f t="shared" si="24"/>
        <v>Married</v>
      </c>
      <c r="D820" t="s">
        <v>30</v>
      </c>
      <c r="E820" t="str">
        <f t="shared" si="25"/>
        <v>Male</v>
      </c>
      <c r="F820" s="2">
        <v>40000</v>
      </c>
      <c r="G820">
        <v>0</v>
      </c>
      <c r="H820" t="s">
        <v>16</v>
      </c>
      <c r="I820" t="s">
        <v>12</v>
      </c>
      <c r="J820" t="s">
        <v>13</v>
      </c>
      <c r="K820">
        <v>1</v>
      </c>
      <c r="L820" t="s">
        <v>20</v>
      </c>
      <c r="M820" t="s">
        <v>28</v>
      </c>
      <c r="N820" s="2">
        <v>30</v>
      </c>
      <c r="O820" t="str" cm="1">
        <f t="array" ref="O820">_xlfn.IFS(
  AND(BikePurchase[[#This Row],[Age]]&gt;=18, BikePurchase[[#This Row],[Age]]&lt;=30), "Adolescent",
  AND(BikePurchase[[#This Row],[Age]]&gt;30, BikePurchase[[#This Row],[Age]]&lt;55), "Middle Aged",
  AND(BikePurchase[[#This Row],[Age]]&gt;=55, BikePurchase[[#This Row],[Age]]&lt;90), "Old",
  TRUE, "Invalid"
)</f>
        <v>Adolescent</v>
      </c>
      <c r="P820" t="s">
        <v>15</v>
      </c>
      <c r="Q820" t="str">
        <f>IF(BikePurchase[[#This Row],[Purchased BikeX]]="No","Not Purchased","Purchased")</f>
        <v>Not Purchased</v>
      </c>
    </row>
    <row r="821" spans="1:17" x14ac:dyDescent="0.3">
      <c r="A821">
        <v>27505</v>
      </c>
      <c r="B821" t="s">
        <v>31</v>
      </c>
      <c r="C821" t="str">
        <f t="shared" si="24"/>
        <v>Single</v>
      </c>
      <c r="D821" t="s">
        <v>29</v>
      </c>
      <c r="E821" t="str">
        <f t="shared" si="25"/>
        <v>Female</v>
      </c>
      <c r="F821" s="2">
        <v>40000</v>
      </c>
      <c r="G821">
        <v>0</v>
      </c>
      <c r="H821" t="s">
        <v>24</v>
      </c>
      <c r="I821" t="s">
        <v>12</v>
      </c>
      <c r="J821" t="s">
        <v>13</v>
      </c>
      <c r="K821">
        <v>2</v>
      </c>
      <c r="L821" t="s">
        <v>20</v>
      </c>
      <c r="M821" t="s">
        <v>28</v>
      </c>
      <c r="N821" s="2">
        <v>30</v>
      </c>
      <c r="O821" t="str" cm="1">
        <f t="array" ref="O821">_xlfn.IFS(
  AND(BikePurchase[[#This Row],[Age]]&gt;=18, BikePurchase[[#This Row],[Age]]&lt;=30), "Adolescent",
  AND(BikePurchase[[#This Row],[Age]]&gt;30, BikePurchase[[#This Row],[Age]]&lt;55), "Middle Aged",
  AND(BikePurchase[[#This Row],[Age]]&gt;=55, BikePurchase[[#This Row],[Age]]&lt;90), "Old",
  TRUE, "Invalid"
)</f>
        <v>Adolescent</v>
      </c>
      <c r="P821" t="s">
        <v>15</v>
      </c>
      <c r="Q821" t="str">
        <f>IF(BikePurchase[[#This Row],[Purchased BikeX]]="No","Not Purchased","Purchased")</f>
        <v>Not Purchased</v>
      </c>
    </row>
    <row r="822" spans="1:17" x14ac:dyDescent="0.3">
      <c r="A822">
        <v>29243</v>
      </c>
      <c r="B822" t="s">
        <v>31</v>
      </c>
      <c r="C822" t="str">
        <f t="shared" si="24"/>
        <v>Single</v>
      </c>
      <c r="D822" t="s">
        <v>30</v>
      </c>
      <c r="E822" t="str">
        <f t="shared" si="25"/>
        <v>Male</v>
      </c>
      <c r="F822" s="2">
        <v>110000</v>
      </c>
      <c r="G822">
        <v>1</v>
      </c>
      <c r="H822" t="s">
        <v>11</v>
      </c>
      <c r="I822" t="s">
        <v>25</v>
      </c>
      <c r="J822" t="s">
        <v>13</v>
      </c>
      <c r="K822">
        <v>1</v>
      </c>
      <c r="L822" t="s">
        <v>20</v>
      </c>
      <c r="M822" t="s">
        <v>28</v>
      </c>
      <c r="N822" s="2">
        <v>43</v>
      </c>
      <c r="O822" t="str" cm="1">
        <f t="array" ref="O822">_xlfn.IFS(
  AND(BikePurchase[[#This Row],[Age]]&gt;=18, BikePurchase[[#This Row],[Age]]&lt;=30), "Adolescent",
  AND(BikePurchase[[#This Row],[Age]]&gt;30, BikePurchase[[#This Row],[Age]]&lt;55), "Middle Aged",
  AND(BikePurchase[[#This Row],[Age]]&gt;=55, BikePurchase[[#This Row],[Age]]&lt;90), "Old",
  TRUE, "Invalid"
)</f>
        <v>Middle Aged</v>
      </c>
      <c r="P822" t="s">
        <v>15</v>
      </c>
      <c r="Q822" t="str">
        <f>IF(BikePurchase[[#This Row],[Purchased BikeX]]="No","Not Purchased","Purchased")</f>
        <v>Not Purchased</v>
      </c>
    </row>
    <row r="823" spans="1:17" x14ac:dyDescent="0.3">
      <c r="A823">
        <v>26582</v>
      </c>
      <c r="B823" t="s">
        <v>30</v>
      </c>
      <c r="C823" t="str">
        <f t="shared" si="24"/>
        <v>Married</v>
      </c>
      <c r="D823" t="s">
        <v>30</v>
      </c>
      <c r="E823" t="str">
        <f t="shared" si="25"/>
        <v>Male</v>
      </c>
      <c r="F823" s="2">
        <v>60000</v>
      </c>
      <c r="G823">
        <v>0</v>
      </c>
      <c r="H823" t="s">
        <v>16</v>
      </c>
      <c r="I823" t="s">
        <v>12</v>
      </c>
      <c r="J823" t="s">
        <v>13</v>
      </c>
      <c r="K823">
        <v>2</v>
      </c>
      <c r="L823" t="s">
        <v>20</v>
      </c>
      <c r="M823" t="s">
        <v>28</v>
      </c>
      <c r="N823" s="2">
        <v>33</v>
      </c>
      <c r="O823" t="str" cm="1">
        <f t="array" ref="O823">_xlfn.IFS(
  AND(BikePurchase[[#This Row],[Age]]&gt;=18, BikePurchase[[#This Row],[Age]]&lt;=30), "Adolescent",
  AND(BikePurchase[[#This Row],[Age]]&gt;30, BikePurchase[[#This Row],[Age]]&lt;55), "Middle Aged",
  AND(BikePurchase[[#This Row],[Age]]&gt;=55, BikePurchase[[#This Row],[Age]]&lt;90), "Old",
  TRUE, "Invalid"
)</f>
        <v>Middle Aged</v>
      </c>
      <c r="P823" t="s">
        <v>13</v>
      </c>
      <c r="Q823" t="str">
        <f>IF(BikePurchase[[#This Row],[Purchased BikeX]]="No","Not Purchased","Purchased")</f>
        <v>Purchased</v>
      </c>
    </row>
    <row r="824" spans="1:17" x14ac:dyDescent="0.3">
      <c r="A824">
        <v>14271</v>
      </c>
      <c r="B824" t="s">
        <v>30</v>
      </c>
      <c r="C824" t="str">
        <f t="shared" si="24"/>
        <v>Married</v>
      </c>
      <c r="D824" t="s">
        <v>30</v>
      </c>
      <c r="E824" t="str">
        <f t="shared" si="25"/>
        <v>Male</v>
      </c>
      <c r="F824" s="2">
        <v>30000</v>
      </c>
      <c r="G824">
        <v>0</v>
      </c>
      <c r="H824" t="s">
        <v>24</v>
      </c>
      <c r="I824" t="s">
        <v>12</v>
      </c>
      <c r="J824" t="s">
        <v>13</v>
      </c>
      <c r="K824">
        <v>2</v>
      </c>
      <c r="L824" t="s">
        <v>20</v>
      </c>
      <c r="M824" t="s">
        <v>28</v>
      </c>
      <c r="N824" s="2">
        <v>32</v>
      </c>
      <c r="O824" t="str" cm="1">
        <f t="array" ref="O824">_xlfn.IFS(
  AND(BikePurchase[[#This Row],[Age]]&gt;=18, BikePurchase[[#This Row],[Age]]&lt;=30), "Adolescent",
  AND(BikePurchase[[#This Row],[Age]]&gt;30, BikePurchase[[#This Row],[Age]]&lt;55), "Middle Aged",
  AND(BikePurchase[[#This Row],[Age]]&gt;=55, BikePurchase[[#This Row],[Age]]&lt;90), "Old",
  TRUE, "Invalid"
)</f>
        <v>Middle Aged</v>
      </c>
      <c r="P824" t="s">
        <v>15</v>
      </c>
      <c r="Q824" t="str">
        <f>IF(BikePurchase[[#This Row],[Purchased BikeX]]="No","Not Purchased","Purchased")</f>
        <v>Not Purchased</v>
      </c>
    </row>
    <row r="825" spans="1:17" x14ac:dyDescent="0.3">
      <c r="A825">
        <v>23041</v>
      </c>
      <c r="B825" t="s">
        <v>31</v>
      </c>
      <c r="C825" t="str">
        <f t="shared" si="24"/>
        <v>Single</v>
      </c>
      <c r="D825" t="s">
        <v>29</v>
      </c>
      <c r="E825" t="str">
        <f t="shared" si="25"/>
        <v>Female</v>
      </c>
      <c r="F825" s="2">
        <v>70000</v>
      </c>
      <c r="G825">
        <v>4</v>
      </c>
      <c r="H825" t="s">
        <v>24</v>
      </c>
      <c r="I825" t="s">
        <v>18</v>
      </c>
      <c r="J825" t="s">
        <v>13</v>
      </c>
      <c r="K825">
        <v>0</v>
      </c>
      <c r="L825" t="s">
        <v>20</v>
      </c>
      <c r="M825" t="s">
        <v>28</v>
      </c>
      <c r="N825" s="2">
        <v>50</v>
      </c>
      <c r="O825" t="str" cm="1">
        <f t="array" ref="O825">_xlfn.IFS(
  AND(BikePurchase[[#This Row],[Age]]&gt;=18, BikePurchase[[#This Row],[Age]]&lt;=30), "Adolescent",
  AND(BikePurchase[[#This Row],[Age]]&gt;30, BikePurchase[[#This Row],[Age]]&lt;55), "Middle Aged",
  AND(BikePurchase[[#This Row],[Age]]&gt;=55, BikePurchase[[#This Row],[Age]]&lt;90), "Old",
  TRUE, "Invalid"
)</f>
        <v>Middle Aged</v>
      </c>
      <c r="P825" t="s">
        <v>13</v>
      </c>
      <c r="Q825" t="str">
        <f>IF(BikePurchase[[#This Row],[Purchased BikeX]]="No","Not Purchased","Purchased")</f>
        <v>Purchased</v>
      </c>
    </row>
    <row r="826" spans="1:17" x14ac:dyDescent="0.3">
      <c r="A826">
        <v>29048</v>
      </c>
      <c r="B826" t="s">
        <v>31</v>
      </c>
      <c r="C826" t="str">
        <f t="shared" si="24"/>
        <v>Single</v>
      </c>
      <c r="D826" t="s">
        <v>30</v>
      </c>
      <c r="E826" t="str">
        <f t="shared" si="25"/>
        <v>Male</v>
      </c>
      <c r="F826" s="2">
        <v>110000</v>
      </c>
      <c r="G826">
        <v>2</v>
      </c>
      <c r="H826" t="s">
        <v>11</v>
      </c>
      <c r="I826" t="s">
        <v>25</v>
      </c>
      <c r="J826" t="s">
        <v>15</v>
      </c>
      <c r="K826">
        <v>3</v>
      </c>
      <c r="L826" t="s">
        <v>35</v>
      </c>
      <c r="M826" t="s">
        <v>28</v>
      </c>
      <c r="N826" s="2">
        <v>37</v>
      </c>
      <c r="O826" t="str" cm="1">
        <f t="array" ref="O826">_xlfn.IFS(
  AND(BikePurchase[[#This Row],[Age]]&gt;=18, BikePurchase[[#This Row],[Age]]&lt;=30), "Adolescent",
  AND(BikePurchase[[#This Row],[Age]]&gt;30, BikePurchase[[#This Row],[Age]]&lt;55), "Middle Aged",
  AND(BikePurchase[[#This Row],[Age]]&gt;=55, BikePurchase[[#This Row],[Age]]&lt;90), "Old",
  TRUE, "Invalid"
)</f>
        <v>Middle Aged</v>
      </c>
      <c r="P826" t="s">
        <v>13</v>
      </c>
      <c r="Q826" t="str">
        <f>IF(BikePurchase[[#This Row],[Purchased BikeX]]="No","Not Purchased","Purchased")</f>
        <v>Purchased</v>
      </c>
    </row>
    <row r="827" spans="1:17" x14ac:dyDescent="0.3">
      <c r="A827">
        <v>24433</v>
      </c>
      <c r="B827" t="s">
        <v>30</v>
      </c>
      <c r="C827" t="str">
        <f t="shared" si="24"/>
        <v>Married</v>
      </c>
      <c r="D827" t="s">
        <v>30</v>
      </c>
      <c r="E827" t="str">
        <f t="shared" si="25"/>
        <v>Male</v>
      </c>
      <c r="F827" s="2">
        <v>70000</v>
      </c>
      <c r="G827">
        <v>3</v>
      </c>
      <c r="H827" t="s">
        <v>24</v>
      </c>
      <c r="I827" t="s">
        <v>18</v>
      </c>
      <c r="J827" t="s">
        <v>15</v>
      </c>
      <c r="K827">
        <v>1</v>
      </c>
      <c r="L827" t="s">
        <v>23</v>
      </c>
      <c r="M827" t="s">
        <v>28</v>
      </c>
      <c r="N827" s="2">
        <v>52</v>
      </c>
      <c r="O827" t="str" cm="1">
        <f t="array" ref="O827">_xlfn.IFS(
  AND(BikePurchase[[#This Row],[Age]]&gt;=18, BikePurchase[[#This Row],[Age]]&lt;=30), "Adolescent",
  AND(BikePurchase[[#This Row],[Age]]&gt;30, BikePurchase[[#This Row],[Age]]&lt;55), "Middle Aged",
  AND(BikePurchase[[#This Row],[Age]]&gt;=55, BikePurchase[[#This Row],[Age]]&lt;90), "Old",
  TRUE, "Invalid"
)</f>
        <v>Middle Aged</v>
      </c>
      <c r="P827" t="s">
        <v>13</v>
      </c>
      <c r="Q827" t="str">
        <f>IF(BikePurchase[[#This Row],[Purchased BikeX]]="No","Not Purchased","Purchased")</f>
        <v>Purchased</v>
      </c>
    </row>
    <row r="828" spans="1:17" x14ac:dyDescent="0.3">
      <c r="A828">
        <v>15501</v>
      </c>
      <c r="B828" t="s">
        <v>30</v>
      </c>
      <c r="C828" t="str">
        <f t="shared" si="24"/>
        <v>Married</v>
      </c>
      <c r="D828" t="s">
        <v>30</v>
      </c>
      <c r="E828" t="str">
        <f t="shared" si="25"/>
        <v>Male</v>
      </c>
      <c r="F828" s="2">
        <v>70000</v>
      </c>
      <c r="G828">
        <v>4</v>
      </c>
      <c r="H828" t="s">
        <v>27</v>
      </c>
      <c r="I828" t="s">
        <v>18</v>
      </c>
      <c r="J828" t="s">
        <v>13</v>
      </c>
      <c r="K828">
        <v>0</v>
      </c>
      <c r="L828" t="s">
        <v>19</v>
      </c>
      <c r="M828" t="s">
        <v>28</v>
      </c>
      <c r="N828" s="2">
        <v>36</v>
      </c>
      <c r="O828" t="str" cm="1">
        <f t="array" ref="O828">_xlfn.IFS(
  AND(BikePurchase[[#This Row],[Age]]&gt;=18, BikePurchase[[#This Row],[Age]]&lt;=30), "Adolescent",
  AND(BikePurchase[[#This Row],[Age]]&gt;30, BikePurchase[[#This Row],[Age]]&lt;55), "Middle Aged",
  AND(BikePurchase[[#This Row],[Age]]&gt;=55, BikePurchase[[#This Row],[Age]]&lt;90), "Old",
  TRUE, "Invalid"
)</f>
        <v>Middle Aged</v>
      </c>
      <c r="P828" t="s">
        <v>13</v>
      </c>
      <c r="Q828" t="str">
        <f>IF(BikePurchase[[#This Row],[Purchased BikeX]]="No","Not Purchased","Purchased")</f>
        <v>Purchased</v>
      </c>
    </row>
    <row r="829" spans="1:17" x14ac:dyDescent="0.3">
      <c r="A829">
        <v>13911</v>
      </c>
      <c r="B829" t="s">
        <v>31</v>
      </c>
      <c r="C829" t="str">
        <f t="shared" si="24"/>
        <v>Single</v>
      </c>
      <c r="D829" t="s">
        <v>29</v>
      </c>
      <c r="E829" t="str">
        <f t="shared" si="25"/>
        <v>Female</v>
      </c>
      <c r="F829" s="2">
        <v>80000</v>
      </c>
      <c r="G829">
        <v>3</v>
      </c>
      <c r="H829" t="s">
        <v>11</v>
      </c>
      <c r="I829" t="s">
        <v>12</v>
      </c>
      <c r="J829" t="s">
        <v>13</v>
      </c>
      <c r="K829">
        <v>2</v>
      </c>
      <c r="L829" t="s">
        <v>19</v>
      </c>
      <c r="M829" t="s">
        <v>28</v>
      </c>
      <c r="N829" s="2">
        <v>41</v>
      </c>
      <c r="O829" t="str" cm="1">
        <f t="array" ref="O829">_xlfn.IFS(
  AND(BikePurchase[[#This Row],[Age]]&gt;=18, BikePurchase[[#This Row],[Age]]&lt;=30), "Adolescent",
  AND(BikePurchase[[#This Row],[Age]]&gt;30, BikePurchase[[#This Row],[Age]]&lt;55), "Middle Aged",
  AND(BikePurchase[[#This Row],[Age]]&gt;=55, BikePurchase[[#This Row],[Age]]&lt;90), "Old",
  TRUE, "Invalid"
)</f>
        <v>Middle Aged</v>
      </c>
      <c r="P829" t="s">
        <v>13</v>
      </c>
      <c r="Q829" t="str">
        <f>IF(BikePurchase[[#This Row],[Purchased BikeX]]="No","Not Purchased","Purchased")</f>
        <v>Purchased</v>
      </c>
    </row>
    <row r="830" spans="1:17" x14ac:dyDescent="0.3">
      <c r="A830">
        <v>20421</v>
      </c>
      <c r="B830" t="s">
        <v>31</v>
      </c>
      <c r="C830" t="str">
        <f t="shared" si="24"/>
        <v>Single</v>
      </c>
      <c r="D830" t="s">
        <v>29</v>
      </c>
      <c r="E830" t="str">
        <f t="shared" si="25"/>
        <v>Female</v>
      </c>
      <c r="F830" s="2">
        <v>40000</v>
      </c>
      <c r="G830">
        <v>0</v>
      </c>
      <c r="H830" t="s">
        <v>26</v>
      </c>
      <c r="I830" t="s">
        <v>17</v>
      </c>
      <c r="J830" t="s">
        <v>13</v>
      </c>
      <c r="K830">
        <v>2</v>
      </c>
      <c r="L830" t="s">
        <v>20</v>
      </c>
      <c r="M830" t="s">
        <v>28</v>
      </c>
      <c r="N830" s="2">
        <v>26</v>
      </c>
      <c r="O830" t="str" cm="1">
        <f t="array" ref="O830">_xlfn.IFS(
  AND(BikePurchase[[#This Row],[Age]]&gt;=18, BikePurchase[[#This Row],[Age]]&lt;=30), "Adolescent",
  AND(BikePurchase[[#This Row],[Age]]&gt;30, BikePurchase[[#This Row],[Age]]&lt;55), "Middle Aged",
  AND(BikePurchase[[#This Row],[Age]]&gt;=55, BikePurchase[[#This Row],[Age]]&lt;90), "Old",
  TRUE, "Invalid"
)</f>
        <v>Adolescent</v>
      </c>
      <c r="P830" t="s">
        <v>15</v>
      </c>
      <c r="Q830" t="str">
        <f>IF(BikePurchase[[#This Row],[Purchased BikeX]]="No","Not Purchased","Purchased")</f>
        <v>Not Purchased</v>
      </c>
    </row>
    <row r="831" spans="1:17" x14ac:dyDescent="0.3">
      <c r="A831">
        <v>16009</v>
      </c>
      <c r="B831" t="s">
        <v>31</v>
      </c>
      <c r="C831" t="str">
        <f t="shared" si="24"/>
        <v>Single</v>
      </c>
      <c r="D831" t="s">
        <v>30</v>
      </c>
      <c r="E831" t="str">
        <f t="shared" si="25"/>
        <v>Male</v>
      </c>
      <c r="F831" s="2">
        <v>170000</v>
      </c>
      <c r="G831">
        <v>1</v>
      </c>
      <c r="H831" t="s">
        <v>27</v>
      </c>
      <c r="I831" t="s">
        <v>25</v>
      </c>
      <c r="J831" t="s">
        <v>15</v>
      </c>
      <c r="K831">
        <v>4</v>
      </c>
      <c r="L831" t="s">
        <v>35</v>
      </c>
      <c r="M831" t="s">
        <v>28</v>
      </c>
      <c r="N831" s="2">
        <v>66</v>
      </c>
      <c r="O831" t="str" cm="1">
        <f t="array" ref="O831">_xlfn.IFS(
  AND(BikePurchase[[#This Row],[Age]]&gt;=18, BikePurchase[[#This Row],[Age]]&lt;=30), "Adolescent",
  AND(BikePurchase[[#This Row],[Age]]&gt;30, BikePurchase[[#This Row],[Age]]&lt;55), "Middle Aged",
  AND(BikePurchase[[#This Row],[Age]]&gt;=55, BikePurchase[[#This Row],[Age]]&lt;90), "Old",
  TRUE, "Invalid"
)</f>
        <v>Old</v>
      </c>
      <c r="P831" t="s">
        <v>15</v>
      </c>
      <c r="Q831" t="str">
        <f>IF(BikePurchase[[#This Row],[Purchased BikeX]]="No","Not Purchased","Purchased")</f>
        <v>Not Purchased</v>
      </c>
    </row>
    <row r="832" spans="1:17" x14ac:dyDescent="0.3">
      <c r="A832">
        <v>18411</v>
      </c>
      <c r="B832" t="s">
        <v>30</v>
      </c>
      <c r="C832" t="str">
        <f t="shared" si="24"/>
        <v>Married</v>
      </c>
      <c r="D832" t="s">
        <v>30</v>
      </c>
      <c r="E832" t="str">
        <f t="shared" si="25"/>
        <v>Male</v>
      </c>
      <c r="F832" s="2">
        <v>60000</v>
      </c>
      <c r="G832">
        <v>2</v>
      </c>
      <c r="H832" t="s">
        <v>24</v>
      </c>
      <c r="I832" t="s">
        <v>18</v>
      </c>
      <c r="J832" t="s">
        <v>15</v>
      </c>
      <c r="K832">
        <v>2</v>
      </c>
      <c r="L832" t="s">
        <v>20</v>
      </c>
      <c r="M832" t="s">
        <v>28</v>
      </c>
      <c r="N832" s="2">
        <v>51</v>
      </c>
      <c r="O832" t="str" cm="1">
        <f t="array" ref="O832">_xlfn.IFS(
  AND(BikePurchase[[#This Row],[Age]]&gt;=18, BikePurchase[[#This Row],[Age]]&lt;=30), "Adolescent",
  AND(BikePurchase[[#This Row],[Age]]&gt;30, BikePurchase[[#This Row],[Age]]&lt;55), "Middle Aged",
  AND(BikePurchase[[#This Row],[Age]]&gt;=55, BikePurchase[[#This Row],[Age]]&lt;90), "Old",
  TRUE, "Invalid"
)</f>
        <v>Middle Aged</v>
      </c>
      <c r="P832" t="s">
        <v>15</v>
      </c>
      <c r="Q832" t="str">
        <f>IF(BikePurchase[[#This Row],[Purchased BikeX]]="No","Not Purchased","Purchased")</f>
        <v>Not Purchased</v>
      </c>
    </row>
    <row r="833" spans="1:17" x14ac:dyDescent="0.3">
      <c r="A833">
        <v>19163</v>
      </c>
      <c r="B833" t="s">
        <v>30</v>
      </c>
      <c r="C833" t="str">
        <f t="shared" si="24"/>
        <v>Married</v>
      </c>
      <c r="D833" t="s">
        <v>29</v>
      </c>
      <c r="E833" t="str">
        <f t="shared" si="25"/>
        <v>Female</v>
      </c>
      <c r="F833" s="2">
        <v>70000</v>
      </c>
      <c r="G833">
        <v>4</v>
      </c>
      <c r="H833" t="s">
        <v>11</v>
      </c>
      <c r="I833" t="s">
        <v>18</v>
      </c>
      <c r="J833" t="s">
        <v>13</v>
      </c>
      <c r="K833">
        <v>2</v>
      </c>
      <c r="L833" t="s">
        <v>35</v>
      </c>
      <c r="M833" t="s">
        <v>28</v>
      </c>
      <c r="N833" s="2">
        <v>43</v>
      </c>
      <c r="O833" t="str" cm="1">
        <f t="array" ref="O833">_xlfn.IFS(
  AND(BikePurchase[[#This Row],[Age]]&gt;=18, BikePurchase[[#This Row],[Age]]&lt;=30), "Adolescent",
  AND(BikePurchase[[#This Row],[Age]]&gt;30, BikePurchase[[#This Row],[Age]]&lt;55), "Middle Aged",
  AND(BikePurchase[[#This Row],[Age]]&gt;=55, BikePurchase[[#This Row],[Age]]&lt;90), "Old",
  TRUE, "Invalid"
)</f>
        <v>Middle Aged</v>
      </c>
      <c r="P833" t="s">
        <v>13</v>
      </c>
      <c r="Q833" t="str">
        <f>IF(BikePurchase[[#This Row],[Purchased BikeX]]="No","Not Purchased","Purchased")</f>
        <v>Purchased</v>
      </c>
    </row>
    <row r="834" spans="1:17" x14ac:dyDescent="0.3">
      <c r="A834">
        <v>18572</v>
      </c>
      <c r="B834" t="s">
        <v>30</v>
      </c>
      <c r="C834" t="str">
        <f t="shared" ref="C834:C897" si="26">IF(B834="M","Married","Single")</f>
        <v>Married</v>
      </c>
      <c r="D834" t="s">
        <v>29</v>
      </c>
      <c r="E834" t="str">
        <f t="shared" ref="E834:E897" si="27">IF(D834="F","Female","Male")</f>
        <v>Female</v>
      </c>
      <c r="F834" s="2">
        <v>60000</v>
      </c>
      <c r="G834">
        <v>0</v>
      </c>
      <c r="H834" t="s">
        <v>27</v>
      </c>
      <c r="I834" t="s">
        <v>18</v>
      </c>
      <c r="J834" t="s">
        <v>13</v>
      </c>
      <c r="K834">
        <v>0</v>
      </c>
      <c r="L834" t="s">
        <v>35</v>
      </c>
      <c r="M834" t="s">
        <v>28</v>
      </c>
      <c r="N834" s="2">
        <v>39</v>
      </c>
      <c r="O834" t="str" cm="1">
        <f t="array" ref="O834">_xlfn.IFS(
  AND(BikePurchase[[#This Row],[Age]]&gt;=18, BikePurchase[[#This Row],[Age]]&lt;=30), "Adolescent",
  AND(BikePurchase[[#This Row],[Age]]&gt;30, BikePurchase[[#This Row],[Age]]&lt;55), "Middle Aged",
  AND(BikePurchase[[#This Row],[Age]]&gt;=55, BikePurchase[[#This Row],[Age]]&lt;90), "Old",
  TRUE, "Invalid"
)</f>
        <v>Middle Aged</v>
      </c>
      <c r="P834" t="s">
        <v>15</v>
      </c>
      <c r="Q834" t="str">
        <f>IF(BikePurchase[[#This Row],[Purchased BikeX]]="No","Not Purchased","Purchased")</f>
        <v>Not Purchased</v>
      </c>
    </row>
    <row r="835" spans="1:17" x14ac:dyDescent="0.3">
      <c r="A835">
        <v>27540</v>
      </c>
      <c r="B835" t="s">
        <v>31</v>
      </c>
      <c r="C835" t="str">
        <f t="shared" si="26"/>
        <v>Single</v>
      </c>
      <c r="D835" t="s">
        <v>29</v>
      </c>
      <c r="E835" t="str">
        <f t="shared" si="27"/>
        <v>Female</v>
      </c>
      <c r="F835" s="2">
        <v>70000</v>
      </c>
      <c r="G835">
        <v>0</v>
      </c>
      <c r="H835" t="s">
        <v>11</v>
      </c>
      <c r="I835" t="s">
        <v>18</v>
      </c>
      <c r="J835" t="s">
        <v>15</v>
      </c>
      <c r="K835">
        <v>1</v>
      </c>
      <c r="L835" t="s">
        <v>35</v>
      </c>
      <c r="M835" t="s">
        <v>28</v>
      </c>
      <c r="N835" s="2">
        <v>37</v>
      </c>
      <c r="O835" t="str" cm="1">
        <f t="array" ref="O835">_xlfn.IFS(
  AND(BikePurchase[[#This Row],[Age]]&gt;=18, BikePurchase[[#This Row],[Age]]&lt;=30), "Adolescent",
  AND(BikePurchase[[#This Row],[Age]]&gt;30, BikePurchase[[#This Row],[Age]]&lt;55), "Middle Aged",
  AND(BikePurchase[[#This Row],[Age]]&gt;=55, BikePurchase[[#This Row],[Age]]&lt;90), "Old",
  TRUE, "Invalid"
)</f>
        <v>Middle Aged</v>
      </c>
      <c r="P835" t="s">
        <v>13</v>
      </c>
      <c r="Q835" t="str">
        <f>IF(BikePurchase[[#This Row],[Purchased BikeX]]="No","Not Purchased","Purchased")</f>
        <v>Purchased</v>
      </c>
    </row>
    <row r="836" spans="1:17" x14ac:dyDescent="0.3">
      <c r="A836">
        <v>19889</v>
      </c>
      <c r="B836" t="s">
        <v>31</v>
      </c>
      <c r="C836" t="str">
        <f t="shared" si="26"/>
        <v>Single</v>
      </c>
      <c r="D836" t="s">
        <v>29</v>
      </c>
      <c r="E836" t="str">
        <f t="shared" si="27"/>
        <v>Female</v>
      </c>
      <c r="F836" s="2">
        <v>70000</v>
      </c>
      <c r="G836">
        <v>2</v>
      </c>
      <c r="H836" t="s">
        <v>26</v>
      </c>
      <c r="I836" t="s">
        <v>12</v>
      </c>
      <c r="J836" t="s">
        <v>15</v>
      </c>
      <c r="K836">
        <v>2</v>
      </c>
      <c r="L836" t="s">
        <v>19</v>
      </c>
      <c r="M836" t="s">
        <v>28</v>
      </c>
      <c r="N836" s="2">
        <v>54</v>
      </c>
      <c r="O836" t="str" cm="1">
        <f t="array" ref="O836">_xlfn.IFS(
  AND(BikePurchase[[#This Row],[Age]]&gt;=18, BikePurchase[[#This Row],[Age]]&lt;=30), "Adolescent",
  AND(BikePurchase[[#This Row],[Age]]&gt;30, BikePurchase[[#This Row],[Age]]&lt;55), "Middle Aged",
  AND(BikePurchase[[#This Row],[Age]]&gt;=55, BikePurchase[[#This Row],[Age]]&lt;90), "Old",
  TRUE, "Invalid"
)</f>
        <v>Middle Aged</v>
      </c>
      <c r="P836" t="s">
        <v>13</v>
      </c>
      <c r="Q836" t="str">
        <f>IF(BikePurchase[[#This Row],[Purchased BikeX]]="No","Not Purchased","Purchased")</f>
        <v>Purchased</v>
      </c>
    </row>
    <row r="837" spans="1:17" x14ac:dyDescent="0.3">
      <c r="A837">
        <v>12922</v>
      </c>
      <c r="B837" t="s">
        <v>31</v>
      </c>
      <c r="C837" t="str">
        <f t="shared" si="26"/>
        <v>Single</v>
      </c>
      <c r="D837" t="s">
        <v>29</v>
      </c>
      <c r="E837" t="str">
        <f t="shared" si="27"/>
        <v>Female</v>
      </c>
      <c r="F837" s="2">
        <v>60000</v>
      </c>
      <c r="G837">
        <v>3</v>
      </c>
      <c r="H837" t="s">
        <v>11</v>
      </c>
      <c r="I837" t="s">
        <v>12</v>
      </c>
      <c r="J837" t="s">
        <v>13</v>
      </c>
      <c r="K837">
        <v>0</v>
      </c>
      <c r="L837" t="s">
        <v>19</v>
      </c>
      <c r="M837" t="s">
        <v>28</v>
      </c>
      <c r="N837" s="2">
        <v>40</v>
      </c>
      <c r="O837" t="str" cm="1">
        <f t="array" ref="O837">_xlfn.IFS(
  AND(BikePurchase[[#This Row],[Age]]&gt;=18, BikePurchase[[#This Row],[Age]]&lt;=30), "Adolescent",
  AND(BikePurchase[[#This Row],[Age]]&gt;30, BikePurchase[[#This Row],[Age]]&lt;55), "Middle Aged",
  AND(BikePurchase[[#This Row],[Age]]&gt;=55, BikePurchase[[#This Row],[Age]]&lt;90), "Old",
  TRUE, "Invalid"
)</f>
        <v>Middle Aged</v>
      </c>
      <c r="P837" t="s">
        <v>13</v>
      </c>
      <c r="Q837" t="str">
        <f>IF(BikePurchase[[#This Row],[Purchased BikeX]]="No","Not Purchased","Purchased")</f>
        <v>Purchased</v>
      </c>
    </row>
    <row r="838" spans="1:17" x14ac:dyDescent="0.3">
      <c r="A838">
        <v>18891</v>
      </c>
      <c r="B838" t="s">
        <v>30</v>
      </c>
      <c r="C838" t="str">
        <f t="shared" si="26"/>
        <v>Married</v>
      </c>
      <c r="D838" t="s">
        <v>29</v>
      </c>
      <c r="E838" t="str">
        <f t="shared" si="27"/>
        <v>Female</v>
      </c>
      <c r="F838" s="2">
        <v>40000</v>
      </c>
      <c r="G838">
        <v>0</v>
      </c>
      <c r="H838" t="s">
        <v>16</v>
      </c>
      <c r="I838" t="s">
        <v>12</v>
      </c>
      <c r="J838" t="s">
        <v>13</v>
      </c>
      <c r="K838">
        <v>2</v>
      </c>
      <c r="L838" t="s">
        <v>20</v>
      </c>
      <c r="M838" t="s">
        <v>28</v>
      </c>
      <c r="N838" s="2">
        <v>28</v>
      </c>
      <c r="O838" t="str" cm="1">
        <f t="array" ref="O838">_xlfn.IFS(
  AND(BikePurchase[[#This Row],[Age]]&gt;=18, BikePurchase[[#This Row],[Age]]&lt;=30), "Adolescent",
  AND(BikePurchase[[#This Row],[Age]]&gt;30, BikePurchase[[#This Row],[Age]]&lt;55), "Middle Aged",
  AND(BikePurchase[[#This Row],[Age]]&gt;=55, BikePurchase[[#This Row],[Age]]&lt;90), "Old",
  TRUE, "Invalid"
)</f>
        <v>Adolescent</v>
      </c>
      <c r="P838" t="s">
        <v>15</v>
      </c>
      <c r="Q838" t="str">
        <f>IF(BikePurchase[[#This Row],[Purchased BikeX]]="No","Not Purchased","Purchased")</f>
        <v>Not Purchased</v>
      </c>
    </row>
    <row r="839" spans="1:17" x14ac:dyDescent="0.3">
      <c r="A839">
        <v>16773</v>
      </c>
      <c r="B839" t="s">
        <v>30</v>
      </c>
      <c r="C839" t="str">
        <f t="shared" si="26"/>
        <v>Married</v>
      </c>
      <c r="D839" t="s">
        <v>30</v>
      </c>
      <c r="E839" t="str">
        <f t="shared" si="27"/>
        <v>Male</v>
      </c>
      <c r="F839" s="2">
        <v>60000</v>
      </c>
      <c r="G839">
        <v>1</v>
      </c>
      <c r="H839" t="s">
        <v>27</v>
      </c>
      <c r="I839" t="s">
        <v>12</v>
      </c>
      <c r="J839" t="s">
        <v>13</v>
      </c>
      <c r="K839">
        <v>0</v>
      </c>
      <c r="L839" t="s">
        <v>35</v>
      </c>
      <c r="M839" t="s">
        <v>28</v>
      </c>
      <c r="N839" s="2">
        <v>33</v>
      </c>
      <c r="O839" t="str" cm="1">
        <f t="array" ref="O839">_xlfn.IFS(
  AND(BikePurchase[[#This Row],[Age]]&gt;=18, BikePurchase[[#This Row],[Age]]&lt;=30), "Adolescent",
  AND(BikePurchase[[#This Row],[Age]]&gt;30, BikePurchase[[#This Row],[Age]]&lt;55), "Middle Aged",
  AND(BikePurchase[[#This Row],[Age]]&gt;=55, BikePurchase[[#This Row],[Age]]&lt;90), "Old",
  TRUE, "Invalid"
)</f>
        <v>Middle Aged</v>
      </c>
      <c r="P839" t="s">
        <v>15</v>
      </c>
      <c r="Q839" t="str">
        <f>IF(BikePurchase[[#This Row],[Purchased BikeX]]="No","Not Purchased","Purchased")</f>
        <v>Not Purchased</v>
      </c>
    </row>
    <row r="840" spans="1:17" x14ac:dyDescent="0.3">
      <c r="A840">
        <v>19143</v>
      </c>
      <c r="B840" t="s">
        <v>31</v>
      </c>
      <c r="C840" t="str">
        <f t="shared" si="26"/>
        <v>Single</v>
      </c>
      <c r="D840" t="s">
        <v>29</v>
      </c>
      <c r="E840" t="str">
        <f t="shared" si="27"/>
        <v>Female</v>
      </c>
      <c r="F840" s="2">
        <v>80000</v>
      </c>
      <c r="G840">
        <v>3</v>
      </c>
      <c r="H840" t="s">
        <v>11</v>
      </c>
      <c r="I840" t="s">
        <v>12</v>
      </c>
      <c r="J840" t="s">
        <v>13</v>
      </c>
      <c r="K840">
        <v>2</v>
      </c>
      <c r="L840" t="s">
        <v>19</v>
      </c>
      <c r="M840" t="s">
        <v>28</v>
      </c>
      <c r="N840" s="2">
        <v>41</v>
      </c>
      <c r="O840" t="str" cm="1">
        <f t="array" ref="O840">_xlfn.IFS(
  AND(BikePurchase[[#This Row],[Age]]&gt;=18, BikePurchase[[#This Row],[Age]]&lt;=30), "Adolescent",
  AND(BikePurchase[[#This Row],[Age]]&gt;30, BikePurchase[[#This Row],[Age]]&lt;55), "Middle Aged",
  AND(BikePurchase[[#This Row],[Age]]&gt;=55, BikePurchase[[#This Row],[Age]]&lt;90), "Old",
  TRUE, "Invalid"
)</f>
        <v>Middle Aged</v>
      </c>
      <c r="P840" t="s">
        <v>13</v>
      </c>
      <c r="Q840" t="str">
        <f>IF(BikePurchase[[#This Row],[Purchased BikeX]]="No","Not Purchased","Purchased")</f>
        <v>Purchased</v>
      </c>
    </row>
    <row r="841" spans="1:17" x14ac:dyDescent="0.3">
      <c r="A841">
        <v>23882</v>
      </c>
      <c r="B841" t="s">
        <v>31</v>
      </c>
      <c r="C841" t="str">
        <f t="shared" si="26"/>
        <v>Single</v>
      </c>
      <c r="D841" t="s">
        <v>29</v>
      </c>
      <c r="E841" t="str">
        <f t="shared" si="27"/>
        <v>Female</v>
      </c>
      <c r="F841" s="2">
        <v>80000</v>
      </c>
      <c r="G841">
        <v>3</v>
      </c>
      <c r="H841" t="s">
        <v>27</v>
      </c>
      <c r="I841" t="s">
        <v>18</v>
      </c>
      <c r="J841" t="s">
        <v>13</v>
      </c>
      <c r="K841">
        <v>0</v>
      </c>
      <c r="L841" t="s">
        <v>35</v>
      </c>
      <c r="M841" t="s">
        <v>28</v>
      </c>
      <c r="N841" s="2">
        <v>37</v>
      </c>
      <c r="O841" t="str" cm="1">
        <f t="array" ref="O841">_xlfn.IFS(
  AND(BikePurchase[[#This Row],[Age]]&gt;=18, BikePurchase[[#This Row],[Age]]&lt;=30), "Adolescent",
  AND(BikePurchase[[#This Row],[Age]]&gt;30, BikePurchase[[#This Row],[Age]]&lt;55), "Middle Aged",
  AND(BikePurchase[[#This Row],[Age]]&gt;=55, BikePurchase[[#This Row],[Age]]&lt;90), "Old",
  TRUE, "Invalid"
)</f>
        <v>Middle Aged</v>
      </c>
      <c r="P841" t="s">
        <v>13</v>
      </c>
      <c r="Q841" t="str">
        <f>IF(BikePurchase[[#This Row],[Purchased BikeX]]="No","Not Purchased","Purchased")</f>
        <v>Purchased</v>
      </c>
    </row>
    <row r="842" spans="1:17" x14ac:dyDescent="0.3">
      <c r="A842">
        <v>11233</v>
      </c>
      <c r="B842" t="s">
        <v>30</v>
      </c>
      <c r="C842" t="str">
        <f t="shared" si="26"/>
        <v>Married</v>
      </c>
      <c r="D842" t="s">
        <v>30</v>
      </c>
      <c r="E842" t="str">
        <f t="shared" si="27"/>
        <v>Male</v>
      </c>
      <c r="F842" s="2">
        <v>70000</v>
      </c>
      <c r="G842">
        <v>4</v>
      </c>
      <c r="H842" t="s">
        <v>16</v>
      </c>
      <c r="I842" t="s">
        <v>18</v>
      </c>
      <c r="J842" t="s">
        <v>13</v>
      </c>
      <c r="K842">
        <v>2</v>
      </c>
      <c r="L842" t="s">
        <v>48</v>
      </c>
      <c r="M842" t="s">
        <v>28</v>
      </c>
      <c r="N842" s="2">
        <v>53</v>
      </c>
      <c r="O842" t="str" cm="1">
        <f t="array" ref="O842">_xlfn.IFS(
  AND(BikePurchase[[#This Row],[Age]]&gt;=18, BikePurchase[[#This Row],[Age]]&lt;=30), "Adolescent",
  AND(BikePurchase[[#This Row],[Age]]&gt;30, BikePurchase[[#This Row],[Age]]&lt;55), "Middle Aged",
  AND(BikePurchase[[#This Row],[Age]]&gt;=55, BikePurchase[[#This Row],[Age]]&lt;90), "Old",
  TRUE, "Invalid"
)</f>
        <v>Middle Aged</v>
      </c>
      <c r="P842" t="s">
        <v>15</v>
      </c>
      <c r="Q842" t="str">
        <f>IF(BikePurchase[[#This Row],[Purchased BikeX]]="No","Not Purchased","Purchased")</f>
        <v>Not Purchased</v>
      </c>
    </row>
    <row r="843" spans="1:17" x14ac:dyDescent="0.3">
      <c r="A843">
        <v>12056</v>
      </c>
      <c r="B843" t="s">
        <v>30</v>
      </c>
      <c r="C843" t="str">
        <f t="shared" si="26"/>
        <v>Married</v>
      </c>
      <c r="D843" t="s">
        <v>30</v>
      </c>
      <c r="E843" t="str">
        <f t="shared" si="27"/>
        <v>Male</v>
      </c>
      <c r="F843" s="2">
        <v>120000</v>
      </c>
      <c r="G843">
        <v>2</v>
      </c>
      <c r="H843" t="s">
        <v>27</v>
      </c>
      <c r="I843" t="s">
        <v>25</v>
      </c>
      <c r="J843" t="s">
        <v>13</v>
      </c>
      <c r="K843">
        <v>3</v>
      </c>
      <c r="L843" t="s">
        <v>20</v>
      </c>
      <c r="M843" t="s">
        <v>28</v>
      </c>
      <c r="N843" s="2">
        <v>64</v>
      </c>
      <c r="O843" t="str" cm="1">
        <f t="array" ref="O843">_xlfn.IFS(
  AND(BikePurchase[[#This Row],[Age]]&gt;=18, BikePurchase[[#This Row],[Age]]&lt;=30), "Adolescent",
  AND(BikePurchase[[#This Row],[Age]]&gt;30, BikePurchase[[#This Row],[Age]]&lt;55), "Middle Aged",
  AND(BikePurchase[[#This Row],[Age]]&gt;=55, BikePurchase[[#This Row],[Age]]&lt;90), "Old",
  TRUE, "Invalid"
)</f>
        <v>Old</v>
      </c>
      <c r="P843" t="s">
        <v>15</v>
      </c>
      <c r="Q843" t="str">
        <f>IF(BikePurchase[[#This Row],[Purchased BikeX]]="No","Not Purchased","Purchased")</f>
        <v>Not Purchased</v>
      </c>
    </row>
    <row r="844" spans="1:17" x14ac:dyDescent="0.3">
      <c r="A844">
        <v>15555</v>
      </c>
      <c r="B844" t="s">
        <v>30</v>
      </c>
      <c r="C844" t="str">
        <f t="shared" si="26"/>
        <v>Married</v>
      </c>
      <c r="D844" t="s">
        <v>29</v>
      </c>
      <c r="E844" t="str">
        <f t="shared" si="27"/>
        <v>Female</v>
      </c>
      <c r="F844" s="2">
        <v>60000</v>
      </c>
      <c r="G844">
        <v>1</v>
      </c>
      <c r="H844" t="s">
        <v>16</v>
      </c>
      <c r="I844" t="s">
        <v>12</v>
      </c>
      <c r="J844" t="s">
        <v>13</v>
      </c>
      <c r="K844">
        <v>1</v>
      </c>
      <c r="L844" t="s">
        <v>19</v>
      </c>
      <c r="M844" t="s">
        <v>28</v>
      </c>
      <c r="N844" s="2">
        <v>45</v>
      </c>
      <c r="O844" t="str" cm="1">
        <f t="array" ref="O844">_xlfn.IFS(
  AND(BikePurchase[[#This Row],[Age]]&gt;=18, BikePurchase[[#This Row],[Age]]&lt;=30), "Adolescent",
  AND(BikePurchase[[#This Row],[Age]]&gt;30, BikePurchase[[#This Row],[Age]]&lt;55), "Middle Aged",
  AND(BikePurchase[[#This Row],[Age]]&gt;=55, BikePurchase[[#This Row],[Age]]&lt;90), "Old",
  TRUE, "Invalid"
)</f>
        <v>Middle Aged</v>
      </c>
      <c r="P844" t="s">
        <v>13</v>
      </c>
      <c r="Q844" t="str">
        <f>IF(BikePurchase[[#This Row],[Purchased BikeX]]="No","Not Purchased","Purchased")</f>
        <v>Purchased</v>
      </c>
    </row>
    <row r="845" spans="1:17" x14ac:dyDescent="0.3">
      <c r="A845">
        <v>18423</v>
      </c>
      <c r="B845" t="s">
        <v>31</v>
      </c>
      <c r="C845" t="str">
        <f t="shared" si="26"/>
        <v>Single</v>
      </c>
      <c r="D845" t="s">
        <v>30</v>
      </c>
      <c r="E845" t="str">
        <f t="shared" si="27"/>
        <v>Male</v>
      </c>
      <c r="F845" s="2">
        <v>80000</v>
      </c>
      <c r="G845">
        <v>2</v>
      </c>
      <c r="H845" t="s">
        <v>26</v>
      </c>
      <c r="I845" t="s">
        <v>12</v>
      </c>
      <c r="J845" t="s">
        <v>15</v>
      </c>
      <c r="K845">
        <v>2</v>
      </c>
      <c r="L845" t="s">
        <v>23</v>
      </c>
      <c r="M845" t="s">
        <v>28</v>
      </c>
      <c r="N845" s="2">
        <v>52</v>
      </c>
      <c r="O845" t="str" cm="1">
        <f t="array" ref="O845">_xlfn.IFS(
  AND(BikePurchase[[#This Row],[Age]]&gt;=18, BikePurchase[[#This Row],[Age]]&lt;=30), "Adolescent",
  AND(BikePurchase[[#This Row],[Age]]&gt;30, BikePurchase[[#This Row],[Age]]&lt;55), "Middle Aged",
  AND(BikePurchase[[#This Row],[Age]]&gt;=55, BikePurchase[[#This Row],[Age]]&lt;90), "Old",
  TRUE, "Invalid"
)</f>
        <v>Middle Aged</v>
      </c>
      <c r="P845" t="s">
        <v>15</v>
      </c>
      <c r="Q845" t="str">
        <f>IF(BikePurchase[[#This Row],[Purchased BikeX]]="No","Not Purchased","Purchased")</f>
        <v>Not Purchased</v>
      </c>
    </row>
    <row r="846" spans="1:17" x14ac:dyDescent="0.3">
      <c r="A846">
        <v>22743</v>
      </c>
      <c r="B846" t="s">
        <v>30</v>
      </c>
      <c r="C846" t="str">
        <f t="shared" si="26"/>
        <v>Married</v>
      </c>
      <c r="D846" t="s">
        <v>29</v>
      </c>
      <c r="E846" t="str">
        <f t="shared" si="27"/>
        <v>Female</v>
      </c>
      <c r="F846" s="2">
        <v>40000</v>
      </c>
      <c r="G846">
        <v>5</v>
      </c>
      <c r="H846" t="s">
        <v>24</v>
      </c>
      <c r="I846" t="s">
        <v>18</v>
      </c>
      <c r="J846" t="s">
        <v>13</v>
      </c>
      <c r="K846">
        <v>2</v>
      </c>
      <c r="L846" t="s">
        <v>48</v>
      </c>
      <c r="M846" t="s">
        <v>28</v>
      </c>
      <c r="N846" s="2">
        <v>60</v>
      </c>
      <c r="O846" t="str" cm="1">
        <f t="array" ref="O846">_xlfn.IFS(
  AND(BikePurchase[[#This Row],[Age]]&gt;=18, BikePurchase[[#This Row],[Age]]&lt;=30), "Adolescent",
  AND(BikePurchase[[#This Row],[Age]]&gt;30, BikePurchase[[#This Row],[Age]]&lt;55), "Middle Aged",
  AND(BikePurchase[[#This Row],[Age]]&gt;=55, BikePurchase[[#This Row],[Age]]&lt;90), "Old",
  TRUE, "Invalid"
)</f>
        <v>Old</v>
      </c>
      <c r="P846" t="s">
        <v>15</v>
      </c>
      <c r="Q846" t="str">
        <f>IF(BikePurchase[[#This Row],[Purchased BikeX]]="No","Not Purchased","Purchased")</f>
        <v>Not Purchased</v>
      </c>
    </row>
    <row r="847" spans="1:17" x14ac:dyDescent="0.3">
      <c r="A847">
        <v>25343</v>
      </c>
      <c r="B847" t="s">
        <v>31</v>
      </c>
      <c r="C847" t="str">
        <f t="shared" si="26"/>
        <v>Single</v>
      </c>
      <c r="D847" t="s">
        <v>29</v>
      </c>
      <c r="E847" t="str">
        <f t="shared" si="27"/>
        <v>Female</v>
      </c>
      <c r="F847" s="2">
        <v>20000</v>
      </c>
      <c r="G847">
        <v>3</v>
      </c>
      <c r="H847" t="s">
        <v>26</v>
      </c>
      <c r="I847" t="s">
        <v>17</v>
      </c>
      <c r="J847" t="s">
        <v>13</v>
      </c>
      <c r="K847">
        <v>2</v>
      </c>
      <c r="L847" t="s">
        <v>23</v>
      </c>
      <c r="M847" t="s">
        <v>28</v>
      </c>
      <c r="N847" s="2">
        <v>50</v>
      </c>
      <c r="O847" t="str" cm="1">
        <f t="array" ref="O847">_xlfn.IFS(
  AND(BikePurchase[[#This Row],[Age]]&gt;=18, BikePurchase[[#This Row],[Age]]&lt;=30), "Adolescent",
  AND(BikePurchase[[#This Row],[Age]]&gt;30, BikePurchase[[#This Row],[Age]]&lt;55), "Middle Aged",
  AND(BikePurchase[[#This Row],[Age]]&gt;=55, BikePurchase[[#This Row],[Age]]&lt;90), "Old",
  TRUE, "Invalid"
)</f>
        <v>Middle Aged</v>
      </c>
      <c r="P847" t="s">
        <v>15</v>
      </c>
      <c r="Q847" t="str">
        <f>IF(BikePurchase[[#This Row],[Purchased BikeX]]="No","Not Purchased","Purchased")</f>
        <v>Not Purchased</v>
      </c>
    </row>
    <row r="848" spans="1:17" x14ac:dyDescent="0.3">
      <c r="A848">
        <v>13390</v>
      </c>
      <c r="B848" t="s">
        <v>30</v>
      </c>
      <c r="C848" t="str">
        <f t="shared" si="26"/>
        <v>Married</v>
      </c>
      <c r="D848" t="s">
        <v>29</v>
      </c>
      <c r="E848" t="str">
        <f t="shared" si="27"/>
        <v>Female</v>
      </c>
      <c r="F848" s="2">
        <v>70000</v>
      </c>
      <c r="G848">
        <v>4</v>
      </c>
      <c r="H848" t="s">
        <v>16</v>
      </c>
      <c r="I848" t="s">
        <v>18</v>
      </c>
      <c r="J848" t="s">
        <v>15</v>
      </c>
      <c r="K848">
        <v>1</v>
      </c>
      <c r="L848" t="s">
        <v>23</v>
      </c>
      <c r="M848" t="s">
        <v>28</v>
      </c>
      <c r="N848" s="2">
        <v>56</v>
      </c>
      <c r="O848" t="str" cm="1">
        <f t="array" ref="O848">_xlfn.IFS(
  AND(BikePurchase[[#This Row],[Age]]&gt;=18, BikePurchase[[#This Row],[Age]]&lt;=30), "Adolescent",
  AND(BikePurchase[[#This Row],[Age]]&gt;30, BikePurchase[[#This Row],[Age]]&lt;55), "Middle Aged",
  AND(BikePurchase[[#This Row],[Age]]&gt;=55, BikePurchase[[#This Row],[Age]]&lt;90), "Old",
  TRUE, "Invalid"
)</f>
        <v>Old</v>
      </c>
      <c r="P848" t="s">
        <v>15</v>
      </c>
      <c r="Q848" t="str">
        <f>IF(BikePurchase[[#This Row],[Purchased BikeX]]="No","Not Purchased","Purchased")</f>
        <v>Not Purchased</v>
      </c>
    </row>
    <row r="849" spans="1:17" x14ac:dyDescent="0.3">
      <c r="A849">
        <v>17482</v>
      </c>
      <c r="B849" t="s">
        <v>31</v>
      </c>
      <c r="C849" t="str">
        <f t="shared" si="26"/>
        <v>Single</v>
      </c>
      <c r="D849" t="s">
        <v>29</v>
      </c>
      <c r="E849" t="str">
        <f t="shared" si="27"/>
        <v>Female</v>
      </c>
      <c r="F849" s="2">
        <v>40000</v>
      </c>
      <c r="G849">
        <v>0</v>
      </c>
      <c r="H849" t="s">
        <v>26</v>
      </c>
      <c r="I849" t="s">
        <v>17</v>
      </c>
      <c r="J849" t="s">
        <v>13</v>
      </c>
      <c r="K849">
        <v>2</v>
      </c>
      <c r="L849" t="s">
        <v>20</v>
      </c>
      <c r="M849" t="s">
        <v>28</v>
      </c>
      <c r="N849" s="2">
        <v>29</v>
      </c>
      <c r="O849" t="str" cm="1">
        <f t="array" ref="O849">_xlfn.IFS(
  AND(BikePurchase[[#This Row],[Age]]&gt;=18, BikePurchase[[#This Row],[Age]]&lt;=30), "Adolescent",
  AND(BikePurchase[[#This Row],[Age]]&gt;30, BikePurchase[[#This Row],[Age]]&lt;55), "Middle Aged",
  AND(BikePurchase[[#This Row],[Age]]&gt;=55, BikePurchase[[#This Row],[Age]]&lt;90), "Old",
  TRUE, "Invalid"
)</f>
        <v>Adolescent</v>
      </c>
      <c r="P849" t="s">
        <v>15</v>
      </c>
      <c r="Q849" t="str">
        <f>IF(BikePurchase[[#This Row],[Purchased BikeX]]="No","Not Purchased","Purchased")</f>
        <v>Not Purchased</v>
      </c>
    </row>
    <row r="850" spans="1:17" x14ac:dyDescent="0.3">
      <c r="A850">
        <v>13176</v>
      </c>
      <c r="B850" t="s">
        <v>31</v>
      </c>
      <c r="C850" t="str">
        <f t="shared" si="26"/>
        <v>Single</v>
      </c>
      <c r="D850" t="s">
        <v>30</v>
      </c>
      <c r="E850" t="str">
        <f t="shared" si="27"/>
        <v>Male</v>
      </c>
      <c r="F850" s="2">
        <v>130000</v>
      </c>
      <c r="G850">
        <v>0</v>
      </c>
      <c r="H850" t="s">
        <v>27</v>
      </c>
      <c r="I850" t="s">
        <v>25</v>
      </c>
      <c r="J850" t="s">
        <v>15</v>
      </c>
      <c r="K850">
        <v>2</v>
      </c>
      <c r="L850" t="s">
        <v>35</v>
      </c>
      <c r="M850" t="s">
        <v>28</v>
      </c>
      <c r="N850" s="2">
        <v>38</v>
      </c>
      <c r="O850" t="str" cm="1">
        <f t="array" ref="O850">_xlfn.IFS(
  AND(BikePurchase[[#This Row],[Age]]&gt;=18, BikePurchase[[#This Row],[Age]]&lt;=30), "Adolescent",
  AND(BikePurchase[[#This Row],[Age]]&gt;30, BikePurchase[[#This Row],[Age]]&lt;55), "Middle Aged",
  AND(BikePurchase[[#This Row],[Age]]&gt;=55, BikePurchase[[#This Row],[Age]]&lt;90), "Old",
  TRUE, "Invalid"
)</f>
        <v>Middle Aged</v>
      </c>
      <c r="P850" t="s">
        <v>13</v>
      </c>
      <c r="Q850" t="str">
        <f>IF(BikePurchase[[#This Row],[Purchased BikeX]]="No","Not Purchased","Purchased")</f>
        <v>Purchased</v>
      </c>
    </row>
    <row r="851" spans="1:17" x14ac:dyDescent="0.3">
      <c r="A851">
        <v>20504</v>
      </c>
      <c r="B851" t="s">
        <v>30</v>
      </c>
      <c r="C851" t="str">
        <f t="shared" si="26"/>
        <v>Married</v>
      </c>
      <c r="D851" t="s">
        <v>29</v>
      </c>
      <c r="E851" t="str">
        <f t="shared" si="27"/>
        <v>Female</v>
      </c>
      <c r="F851" s="2">
        <v>40000</v>
      </c>
      <c r="G851">
        <v>5</v>
      </c>
      <c r="H851" t="s">
        <v>24</v>
      </c>
      <c r="I851" t="s">
        <v>18</v>
      </c>
      <c r="J851" t="s">
        <v>15</v>
      </c>
      <c r="K851">
        <v>2</v>
      </c>
      <c r="L851" t="s">
        <v>19</v>
      </c>
      <c r="M851" t="s">
        <v>28</v>
      </c>
      <c r="N851" s="2">
        <v>60</v>
      </c>
      <c r="O851" t="str" cm="1">
        <f t="array" ref="O851">_xlfn.IFS(
  AND(BikePurchase[[#This Row],[Age]]&gt;=18, BikePurchase[[#This Row],[Age]]&lt;=30), "Adolescent",
  AND(BikePurchase[[#This Row],[Age]]&gt;30, BikePurchase[[#This Row],[Age]]&lt;55), "Middle Aged",
  AND(BikePurchase[[#This Row],[Age]]&gt;=55, BikePurchase[[#This Row],[Age]]&lt;90), "Old",
  TRUE, "Invalid"
)</f>
        <v>Old</v>
      </c>
      <c r="P851" t="s">
        <v>15</v>
      </c>
      <c r="Q851" t="str">
        <f>IF(BikePurchase[[#This Row],[Purchased BikeX]]="No","Not Purchased","Purchased")</f>
        <v>Not Purchased</v>
      </c>
    </row>
    <row r="852" spans="1:17" x14ac:dyDescent="0.3">
      <c r="A852">
        <v>12205</v>
      </c>
      <c r="B852" t="s">
        <v>31</v>
      </c>
      <c r="C852" t="str">
        <f t="shared" si="26"/>
        <v>Single</v>
      </c>
      <c r="D852" t="s">
        <v>29</v>
      </c>
      <c r="E852" t="str">
        <f t="shared" si="27"/>
        <v>Female</v>
      </c>
      <c r="F852" s="2">
        <v>130000</v>
      </c>
      <c r="G852">
        <v>2</v>
      </c>
      <c r="H852" t="s">
        <v>11</v>
      </c>
      <c r="I852" t="s">
        <v>25</v>
      </c>
      <c r="J852" t="s">
        <v>15</v>
      </c>
      <c r="K852">
        <v>4</v>
      </c>
      <c r="L852" t="s">
        <v>35</v>
      </c>
      <c r="M852" t="s">
        <v>28</v>
      </c>
      <c r="N852" s="2">
        <v>67</v>
      </c>
      <c r="O852" t="str" cm="1">
        <f t="array" ref="O852">_xlfn.IFS(
  AND(BikePurchase[[#This Row],[Age]]&gt;=18, BikePurchase[[#This Row],[Age]]&lt;=30), "Adolescent",
  AND(BikePurchase[[#This Row],[Age]]&gt;30, BikePurchase[[#This Row],[Age]]&lt;55), "Middle Aged",
  AND(BikePurchase[[#This Row],[Age]]&gt;=55, BikePurchase[[#This Row],[Age]]&lt;90), "Old",
  TRUE, "Invalid"
)</f>
        <v>Old</v>
      </c>
      <c r="P852" t="s">
        <v>15</v>
      </c>
      <c r="Q852" t="str">
        <f>IF(BikePurchase[[#This Row],[Purchased BikeX]]="No","Not Purchased","Purchased")</f>
        <v>Not Purchased</v>
      </c>
    </row>
    <row r="853" spans="1:17" x14ac:dyDescent="0.3">
      <c r="A853">
        <v>16751</v>
      </c>
      <c r="B853" t="s">
        <v>30</v>
      </c>
      <c r="C853" t="str">
        <f t="shared" si="26"/>
        <v>Married</v>
      </c>
      <c r="D853" t="s">
        <v>30</v>
      </c>
      <c r="E853" t="str">
        <f t="shared" si="27"/>
        <v>Male</v>
      </c>
      <c r="F853" s="2">
        <v>60000</v>
      </c>
      <c r="G853">
        <v>0</v>
      </c>
      <c r="H853" t="s">
        <v>16</v>
      </c>
      <c r="I853" t="s">
        <v>12</v>
      </c>
      <c r="J853" t="s">
        <v>13</v>
      </c>
      <c r="K853">
        <v>1</v>
      </c>
      <c r="L853" t="s">
        <v>20</v>
      </c>
      <c r="M853" t="s">
        <v>28</v>
      </c>
      <c r="N853" s="2">
        <v>32</v>
      </c>
      <c r="O853" t="str" cm="1">
        <f t="array" ref="O853">_xlfn.IFS(
  AND(BikePurchase[[#This Row],[Age]]&gt;=18, BikePurchase[[#This Row],[Age]]&lt;=30), "Adolescent",
  AND(BikePurchase[[#This Row],[Age]]&gt;30, BikePurchase[[#This Row],[Age]]&lt;55), "Middle Aged",
  AND(BikePurchase[[#This Row],[Age]]&gt;=55, BikePurchase[[#This Row],[Age]]&lt;90), "Old",
  TRUE, "Invalid"
)</f>
        <v>Middle Aged</v>
      </c>
      <c r="P853" t="s">
        <v>13</v>
      </c>
      <c r="Q853" t="str">
        <f>IF(BikePurchase[[#This Row],[Purchased BikeX]]="No","Not Purchased","Purchased")</f>
        <v>Purchased</v>
      </c>
    </row>
    <row r="854" spans="1:17" x14ac:dyDescent="0.3">
      <c r="A854">
        <v>21613</v>
      </c>
      <c r="B854" t="s">
        <v>31</v>
      </c>
      <c r="C854" t="str">
        <f t="shared" si="26"/>
        <v>Single</v>
      </c>
      <c r="D854" t="s">
        <v>30</v>
      </c>
      <c r="E854" t="str">
        <f t="shared" si="27"/>
        <v>Male</v>
      </c>
      <c r="F854" s="2">
        <v>50000</v>
      </c>
      <c r="G854">
        <v>2</v>
      </c>
      <c r="H854" t="s">
        <v>11</v>
      </c>
      <c r="I854" t="s">
        <v>12</v>
      </c>
      <c r="J854" t="s">
        <v>15</v>
      </c>
      <c r="K854">
        <v>1</v>
      </c>
      <c r="L854" t="s">
        <v>35</v>
      </c>
      <c r="M854" t="s">
        <v>28</v>
      </c>
      <c r="N854" s="2">
        <v>39</v>
      </c>
      <c r="O854" t="str" cm="1">
        <f t="array" ref="O854">_xlfn.IFS(
  AND(BikePurchase[[#This Row],[Age]]&gt;=18, BikePurchase[[#This Row],[Age]]&lt;=30), "Adolescent",
  AND(BikePurchase[[#This Row],[Age]]&gt;30, BikePurchase[[#This Row],[Age]]&lt;55), "Middle Aged",
  AND(BikePurchase[[#This Row],[Age]]&gt;=55, BikePurchase[[#This Row],[Age]]&lt;90), "Old",
  TRUE, "Invalid"
)</f>
        <v>Middle Aged</v>
      </c>
      <c r="P854" t="s">
        <v>13</v>
      </c>
      <c r="Q854" t="str">
        <f>IF(BikePurchase[[#This Row],[Purchased BikeX]]="No","Not Purchased","Purchased")</f>
        <v>Purchased</v>
      </c>
    </row>
    <row r="855" spans="1:17" x14ac:dyDescent="0.3">
      <c r="A855">
        <v>24801</v>
      </c>
      <c r="B855" t="s">
        <v>31</v>
      </c>
      <c r="C855" t="str">
        <f t="shared" si="26"/>
        <v>Single</v>
      </c>
      <c r="D855" t="s">
        <v>30</v>
      </c>
      <c r="E855" t="str">
        <f t="shared" si="27"/>
        <v>Male</v>
      </c>
      <c r="F855" s="2">
        <v>60000</v>
      </c>
      <c r="G855">
        <v>1</v>
      </c>
      <c r="H855" t="s">
        <v>27</v>
      </c>
      <c r="I855" t="s">
        <v>18</v>
      </c>
      <c r="J855" t="s">
        <v>13</v>
      </c>
      <c r="K855">
        <v>0</v>
      </c>
      <c r="L855" t="s">
        <v>19</v>
      </c>
      <c r="M855" t="s">
        <v>28</v>
      </c>
      <c r="N855" s="2">
        <v>35</v>
      </c>
      <c r="O855" t="str" cm="1">
        <f t="array" ref="O855">_xlfn.IFS(
  AND(BikePurchase[[#This Row],[Age]]&gt;=18, BikePurchase[[#This Row],[Age]]&lt;=30), "Adolescent",
  AND(BikePurchase[[#This Row],[Age]]&gt;30, BikePurchase[[#This Row],[Age]]&lt;55), "Middle Aged",
  AND(BikePurchase[[#This Row],[Age]]&gt;=55, BikePurchase[[#This Row],[Age]]&lt;90), "Old",
  TRUE, "Invalid"
)</f>
        <v>Middle Aged</v>
      </c>
      <c r="P855" t="s">
        <v>13</v>
      </c>
      <c r="Q855" t="str">
        <f>IF(BikePurchase[[#This Row],[Purchased BikeX]]="No","Not Purchased","Purchased")</f>
        <v>Purchased</v>
      </c>
    </row>
    <row r="856" spans="1:17" x14ac:dyDescent="0.3">
      <c r="A856">
        <v>17519</v>
      </c>
      <c r="B856" t="s">
        <v>30</v>
      </c>
      <c r="C856" t="str">
        <f t="shared" si="26"/>
        <v>Married</v>
      </c>
      <c r="D856" t="s">
        <v>29</v>
      </c>
      <c r="E856" t="str">
        <f t="shared" si="27"/>
        <v>Female</v>
      </c>
      <c r="F856" s="2">
        <v>60000</v>
      </c>
      <c r="G856">
        <v>0</v>
      </c>
      <c r="H856" t="s">
        <v>16</v>
      </c>
      <c r="I856" t="s">
        <v>18</v>
      </c>
      <c r="J856" t="s">
        <v>13</v>
      </c>
      <c r="K856">
        <v>2</v>
      </c>
      <c r="L856" t="s">
        <v>20</v>
      </c>
      <c r="M856" t="s">
        <v>28</v>
      </c>
      <c r="N856" s="2">
        <v>32</v>
      </c>
      <c r="O856" t="str" cm="1">
        <f t="array" ref="O856">_xlfn.IFS(
  AND(BikePurchase[[#This Row],[Age]]&gt;=18, BikePurchase[[#This Row],[Age]]&lt;=30), "Adolescent",
  AND(BikePurchase[[#This Row],[Age]]&gt;30, BikePurchase[[#This Row],[Age]]&lt;55), "Middle Aged",
  AND(BikePurchase[[#This Row],[Age]]&gt;=55, BikePurchase[[#This Row],[Age]]&lt;90), "Old",
  TRUE, "Invalid"
)</f>
        <v>Middle Aged</v>
      </c>
      <c r="P856" t="s">
        <v>15</v>
      </c>
      <c r="Q856" t="str">
        <f>IF(BikePurchase[[#This Row],[Purchased BikeX]]="No","Not Purchased","Purchased")</f>
        <v>Not Purchased</v>
      </c>
    </row>
    <row r="857" spans="1:17" x14ac:dyDescent="0.3">
      <c r="A857">
        <v>18347</v>
      </c>
      <c r="B857" t="s">
        <v>31</v>
      </c>
      <c r="C857" t="str">
        <f t="shared" si="26"/>
        <v>Single</v>
      </c>
      <c r="D857" t="s">
        <v>29</v>
      </c>
      <c r="E857" t="str">
        <f t="shared" si="27"/>
        <v>Female</v>
      </c>
      <c r="F857" s="2">
        <v>30000</v>
      </c>
      <c r="G857">
        <v>0</v>
      </c>
      <c r="H857" t="s">
        <v>16</v>
      </c>
      <c r="I857" t="s">
        <v>12</v>
      </c>
      <c r="J857" t="s">
        <v>15</v>
      </c>
      <c r="K857">
        <v>1</v>
      </c>
      <c r="L857" t="s">
        <v>23</v>
      </c>
      <c r="M857" t="s">
        <v>28</v>
      </c>
      <c r="N857" s="2">
        <v>31</v>
      </c>
      <c r="O857" t="str" cm="1">
        <f t="array" ref="O857">_xlfn.IFS(
  AND(BikePurchase[[#This Row],[Age]]&gt;=18, BikePurchase[[#This Row],[Age]]&lt;=30), "Adolescent",
  AND(BikePurchase[[#This Row],[Age]]&gt;30, BikePurchase[[#This Row],[Age]]&lt;55), "Middle Aged",
  AND(BikePurchase[[#This Row],[Age]]&gt;=55, BikePurchase[[#This Row],[Age]]&lt;90), "Old",
  TRUE, "Invalid"
)</f>
        <v>Middle Aged</v>
      </c>
      <c r="P857" t="s">
        <v>15</v>
      </c>
      <c r="Q857" t="str">
        <f>IF(BikePurchase[[#This Row],[Purchased BikeX]]="No","Not Purchased","Purchased")</f>
        <v>Not Purchased</v>
      </c>
    </row>
    <row r="858" spans="1:17" x14ac:dyDescent="0.3">
      <c r="A858">
        <v>29052</v>
      </c>
      <c r="B858" t="s">
        <v>31</v>
      </c>
      <c r="C858" t="str">
        <f t="shared" si="26"/>
        <v>Single</v>
      </c>
      <c r="D858" t="s">
        <v>30</v>
      </c>
      <c r="E858" t="str">
        <f t="shared" si="27"/>
        <v>Male</v>
      </c>
      <c r="F858" s="2">
        <v>40000</v>
      </c>
      <c r="G858">
        <v>0</v>
      </c>
      <c r="H858" t="s">
        <v>16</v>
      </c>
      <c r="I858" t="s">
        <v>12</v>
      </c>
      <c r="J858" t="s">
        <v>13</v>
      </c>
      <c r="K858">
        <v>1</v>
      </c>
      <c r="L858" t="s">
        <v>20</v>
      </c>
      <c r="M858" t="s">
        <v>28</v>
      </c>
      <c r="N858" s="2">
        <v>27</v>
      </c>
      <c r="O858" t="str" cm="1">
        <f t="array" ref="O858">_xlfn.IFS(
  AND(BikePurchase[[#This Row],[Age]]&gt;=18, BikePurchase[[#This Row],[Age]]&lt;=30), "Adolescent",
  AND(BikePurchase[[#This Row],[Age]]&gt;30, BikePurchase[[#This Row],[Age]]&lt;55), "Middle Aged",
  AND(BikePurchase[[#This Row],[Age]]&gt;=55, BikePurchase[[#This Row],[Age]]&lt;90), "Old",
  TRUE, "Invalid"
)</f>
        <v>Adolescent</v>
      </c>
      <c r="P858" t="s">
        <v>15</v>
      </c>
      <c r="Q858" t="str">
        <f>IF(BikePurchase[[#This Row],[Purchased BikeX]]="No","Not Purchased","Purchased")</f>
        <v>Not Purchased</v>
      </c>
    </row>
    <row r="859" spans="1:17" x14ac:dyDescent="0.3">
      <c r="A859">
        <v>11745</v>
      </c>
      <c r="B859" t="s">
        <v>30</v>
      </c>
      <c r="C859" t="str">
        <f t="shared" si="26"/>
        <v>Married</v>
      </c>
      <c r="D859" t="s">
        <v>29</v>
      </c>
      <c r="E859" t="str">
        <f t="shared" si="27"/>
        <v>Female</v>
      </c>
      <c r="F859" s="2">
        <v>60000</v>
      </c>
      <c r="G859">
        <v>1</v>
      </c>
      <c r="H859" t="s">
        <v>11</v>
      </c>
      <c r="I859" t="s">
        <v>18</v>
      </c>
      <c r="J859" t="s">
        <v>13</v>
      </c>
      <c r="K859">
        <v>1</v>
      </c>
      <c r="L859" t="s">
        <v>35</v>
      </c>
      <c r="M859" t="s">
        <v>28</v>
      </c>
      <c r="N859" s="2">
        <v>47</v>
      </c>
      <c r="O859" t="str" cm="1">
        <f t="array" ref="O859">_xlfn.IFS(
  AND(BikePurchase[[#This Row],[Age]]&gt;=18, BikePurchase[[#This Row],[Age]]&lt;=30), "Adolescent",
  AND(BikePurchase[[#This Row],[Age]]&gt;30, BikePurchase[[#This Row],[Age]]&lt;55), "Middle Aged",
  AND(BikePurchase[[#This Row],[Age]]&gt;=55, BikePurchase[[#This Row],[Age]]&lt;90), "Old",
  TRUE, "Invalid"
)</f>
        <v>Middle Aged</v>
      </c>
      <c r="P859" t="s">
        <v>13</v>
      </c>
      <c r="Q859" t="str">
        <f>IF(BikePurchase[[#This Row],[Purchased BikeX]]="No","Not Purchased","Purchased")</f>
        <v>Purchased</v>
      </c>
    </row>
    <row r="860" spans="1:17" x14ac:dyDescent="0.3">
      <c r="A860">
        <v>19147</v>
      </c>
      <c r="B860" t="s">
        <v>30</v>
      </c>
      <c r="C860" t="str">
        <f t="shared" si="26"/>
        <v>Married</v>
      </c>
      <c r="D860" t="s">
        <v>30</v>
      </c>
      <c r="E860" t="str">
        <f t="shared" si="27"/>
        <v>Male</v>
      </c>
      <c r="F860" s="2">
        <v>40000</v>
      </c>
      <c r="G860">
        <v>0</v>
      </c>
      <c r="H860" t="s">
        <v>11</v>
      </c>
      <c r="I860" t="s">
        <v>18</v>
      </c>
      <c r="J860" t="s">
        <v>15</v>
      </c>
      <c r="K860">
        <v>1</v>
      </c>
      <c r="L860" t="s">
        <v>35</v>
      </c>
      <c r="M860" t="s">
        <v>28</v>
      </c>
      <c r="N860" s="2">
        <v>42</v>
      </c>
      <c r="O860" t="str" cm="1">
        <f t="array" ref="O860">_xlfn.IFS(
  AND(BikePurchase[[#This Row],[Age]]&gt;=18, BikePurchase[[#This Row],[Age]]&lt;=30), "Adolescent",
  AND(BikePurchase[[#This Row],[Age]]&gt;30, BikePurchase[[#This Row],[Age]]&lt;55), "Middle Aged",
  AND(BikePurchase[[#This Row],[Age]]&gt;=55, BikePurchase[[#This Row],[Age]]&lt;90), "Old",
  TRUE, "Invalid"
)</f>
        <v>Middle Aged</v>
      </c>
      <c r="P860" t="s">
        <v>15</v>
      </c>
      <c r="Q860" t="str">
        <f>IF(BikePurchase[[#This Row],[Purchased BikeX]]="No","Not Purchased","Purchased")</f>
        <v>Not Purchased</v>
      </c>
    </row>
    <row r="861" spans="1:17" x14ac:dyDescent="0.3">
      <c r="A861">
        <v>19217</v>
      </c>
      <c r="B861" t="s">
        <v>30</v>
      </c>
      <c r="C861" t="str">
        <f t="shared" si="26"/>
        <v>Married</v>
      </c>
      <c r="D861" t="s">
        <v>30</v>
      </c>
      <c r="E861" t="str">
        <f t="shared" si="27"/>
        <v>Male</v>
      </c>
      <c r="F861" s="2">
        <v>30000</v>
      </c>
      <c r="G861">
        <v>2</v>
      </c>
      <c r="H861" t="s">
        <v>24</v>
      </c>
      <c r="I861" t="s">
        <v>12</v>
      </c>
      <c r="J861" t="s">
        <v>13</v>
      </c>
      <c r="K861">
        <v>2</v>
      </c>
      <c r="L861" t="s">
        <v>23</v>
      </c>
      <c r="M861" t="s">
        <v>28</v>
      </c>
      <c r="N861" s="2">
        <v>49</v>
      </c>
      <c r="O861" t="str" cm="1">
        <f t="array" ref="O861">_xlfn.IFS(
  AND(BikePurchase[[#This Row],[Age]]&gt;=18, BikePurchase[[#This Row],[Age]]&lt;=30), "Adolescent",
  AND(BikePurchase[[#This Row],[Age]]&gt;30, BikePurchase[[#This Row],[Age]]&lt;55), "Middle Aged",
  AND(BikePurchase[[#This Row],[Age]]&gt;=55, BikePurchase[[#This Row],[Age]]&lt;90), "Old",
  TRUE, "Invalid"
)</f>
        <v>Middle Aged</v>
      </c>
      <c r="P861" t="s">
        <v>15</v>
      </c>
      <c r="Q861" t="str">
        <f>IF(BikePurchase[[#This Row],[Purchased BikeX]]="No","Not Purchased","Purchased")</f>
        <v>Not Purchased</v>
      </c>
    </row>
    <row r="862" spans="1:17" x14ac:dyDescent="0.3">
      <c r="A862">
        <v>15839</v>
      </c>
      <c r="B862" t="s">
        <v>31</v>
      </c>
      <c r="C862" t="str">
        <f t="shared" si="26"/>
        <v>Single</v>
      </c>
      <c r="D862" t="s">
        <v>30</v>
      </c>
      <c r="E862" t="str">
        <f t="shared" si="27"/>
        <v>Male</v>
      </c>
      <c r="F862" s="2">
        <v>30000</v>
      </c>
      <c r="G862">
        <v>0</v>
      </c>
      <c r="H862" t="s">
        <v>16</v>
      </c>
      <c r="I862" t="s">
        <v>12</v>
      </c>
      <c r="J862" t="s">
        <v>13</v>
      </c>
      <c r="K862">
        <v>1</v>
      </c>
      <c r="L862" t="s">
        <v>20</v>
      </c>
      <c r="M862" t="s">
        <v>28</v>
      </c>
      <c r="N862" s="2">
        <v>32</v>
      </c>
      <c r="O862" t="str" cm="1">
        <f t="array" ref="O862">_xlfn.IFS(
  AND(BikePurchase[[#This Row],[Age]]&gt;=18, BikePurchase[[#This Row],[Age]]&lt;=30), "Adolescent",
  AND(BikePurchase[[#This Row],[Age]]&gt;30, BikePurchase[[#This Row],[Age]]&lt;55), "Middle Aged",
  AND(BikePurchase[[#This Row],[Age]]&gt;=55, BikePurchase[[#This Row],[Age]]&lt;90), "Old",
  TRUE, "Invalid"
)</f>
        <v>Middle Aged</v>
      </c>
      <c r="P862" t="s">
        <v>15</v>
      </c>
      <c r="Q862" t="str">
        <f>IF(BikePurchase[[#This Row],[Purchased BikeX]]="No","Not Purchased","Purchased")</f>
        <v>Not Purchased</v>
      </c>
    </row>
    <row r="863" spans="1:17" x14ac:dyDescent="0.3">
      <c r="A863">
        <v>13714</v>
      </c>
      <c r="B863" t="s">
        <v>30</v>
      </c>
      <c r="C863" t="str">
        <f t="shared" si="26"/>
        <v>Married</v>
      </c>
      <c r="D863" t="s">
        <v>29</v>
      </c>
      <c r="E863" t="str">
        <f t="shared" si="27"/>
        <v>Female</v>
      </c>
      <c r="F863" s="2">
        <v>20000</v>
      </c>
      <c r="G863">
        <v>2</v>
      </c>
      <c r="H863" t="s">
        <v>24</v>
      </c>
      <c r="I863" t="s">
        <v>22</v>
      </c>
      <c r="J863" t="s">
        <v>15</v>
      </c>
      <c r="K863">
        <v>2</v>
      </c>
      <c r="L863" t="s">
        <v>23</v>
      </c>
      <c r="M863" t="s">
        <v>28</v>
      </c>
      <c r="N863" s="2">
        <v>53</v>
      </c>
      <c r="O863" t="str" cm="1">
        <f t="array" ref="O863">_xlfn.IFS(
  AND(BikePurchase[[#This Row],[Age]]&gt;=18, BikePurchase[[#This Row],[Age]]&lt;=30), "Adolescent",
  AND(BikePurchase[[#This Row],[Age]]&gt;30, BikePurchase[[#This Row],[Age]]&lt;55), "Middle Aged",
  AND(BikePurchase[[#This Row],[Age]]&gt;=55, BikePurchase[[#This Row],[Age]]&lt;90), "Old",
  TRUE, "Invalid"
)</f>
        <v>Middle Aged</v>
      </c>
      <c r="P863" t="s">
        <v>13</v>
      </c>
      <c r="Q863" t="str">
        <f>IF(BikePurchase[[#This Row],[Purchased BikeX]]="No","Not Purchased","Purchased")</f>
        <v>Purchased</v>
      </c>
    </row>
    <row r="864" spans="1:17" x14ac:dyDescent="0.3">
      <c r="A864">
        <v>22330</v>
      </c>
      <c r="B864" t="s">
        <v>30</v>
      </c>
      <c r="C864" t="str">
        <f t="shared" si="26"/>
        <v>Married</v>
      </c>
      <c r="D864" t="s">
        <v>30</v>
      </c>
      <c r="E864" t="str">
        <f t="shared" si="27"/>
        <v>Male</v>
      </c>
      <c r="F864" s="2">
        <v>50000</v>
      </c>
      <c r="G864">
        <v>0</v>
      </c>
      <c r="H864" t="s">
        <v>27</v>
      </c>
      <c r="I864" t="s">
        <v>12</v>
      </c>
      <c r="J864" t="s">
        <v>13</v>
      </c>
      <c r="K864">
        <v>0</v>
      </c>
      <c r="L864" t="s">
        <v>23</v>
      </c>
      <c r="M864" t="s">
        <v>28</v>
      </c>
      <c r="N864" s="2">
        <v>32</v>
      </c>
      <c r="O864" t="str" cm="1">
        <f t="array" ref="O864">_xlfn.IFS(
  AND(BikePurchase[[#This Row],[Age]]&gt;=18, BikePurchase[[#This Row],[Age]]&lt;=30), "Adolescent",
  AND(BikePurchase[[#This Row],[Age]]&gt;30, BikePurchase[[#This Row],[Age]]&lt;55), "Middle Aged",
  AND(BikePurchase[[#This Row],[Age]]&gt;=55, BikePurchase[[#This Row],[Age]]&lt;90), "Old",
  TRUE, "Invalid"
)</f>
        <v>Middle Aged</v>
      </c>
      <c r="P864" t="s">
        <v>13</v>
      </c>
      <c r="Q864" t="str">
        <f>IF(BikePurchase[[#This Row],[Purchased BikeX]]="No","Not Purchased","Purchased")</f>
        <v>Purchased</v>
      </c>
    </row>
    <row r="865" spans="1:17" x14ac:dyDescent="0.3">
      <c r="A865">
        <v>18783</v>
      </c>
      <c r="B865" t="s">
        <v>31</v>
      </c>
      <c r="C865" t="str">
        <f t="shared" si="26"/>
        <v>Single</v>
      </c>
      <c r="D865" t="s">
        <v>30</v>
      </c>
      <c r="E865" t="str">
        <f t="shared" si="27"/>
        <v>Male</v>
      </c>
      <c r="F865" s="2">
        <v>80000</v>
      </c>
      <c r="G865">
        <v>0</v>
      </c>
      <c r="H865" t="s">
        <v>11</v>
      </c>
      <c r="I865" t="s">
        <v>25</v>
      </c>
      <c r="J865" t="s">
        <v>15</v>
      </c>
      <c r="K865">
        <v>1</v>
      </c>
      <c r="L865" t="s">
        <v>35</v>
      </c>
      <c r="M865" t="s">
        <v>28</v>
      </c>
      <c r="N865" s="2">
        <v>38</v>
      </c>
      <c r="O865" t="str" cm="1">
        <f t="array" ref="O865">_xlfn.IFS(
  AND(BikePurchase[[#This Row],[Age]]&gt;=18, BikePurchase[[#This Row],[Age]]&lt;=30), "Adolescent",
  AND(BikePurchase[[#This Row],[Age]]&gt;30, BikePurchase[[#This Row],[Age]]&lt;55), "Middle Aged",
  AND(BikePurchase[[#This Row],[Age]]&gt;=55, BikePurchase[[#This Row],[Age]]&lt;90), "Old",
  TRUE, "Invalid"
)</f>
        <v>Middle Aged</v>
      </c>
      <c r="P865" t="s">
        <v>13</v>
      </c>
      <c r="Q865" t="str">
        <f>IF(BikePurchase[[#This Row],[Purchased BikeX]]="No","Not Purchased","Purchased")</f>
        <v>Purchased</v>
      </c>
    </row>
    <row r="866" spans="1:17" x14ac:dyDescent="0.3">
      <c r="A866">
        <v>25041</v>
      </c>
      <c r="B866" t="s">
        <v>31</v>
      </c>
      <c r="C866" t="str">
        <f t="shared" si="26"/>
        <v>Single</v>
      </c>
      <c r="D866" t="s">
        <v>30</v>
      </c>
      <c r="E866" t="str">
        <f t="shared" si="27"/>
        <v>Male</v>
      </c>
      <c r="F866" s="2">
        <v>40000</v>
      </c>
      <c r="G866">
        <v>0</v>
      </c>
      <c r="H866" t="s">
        <v>24</v>
      </c>
      <c r="I866" t="s">
        <v>12</v>
      </c>
      <c r="J866" t="s">
        <v>13</v>
      </c>
      <c r="K866">
        <v>2</v>
      </c>
      <c r="L866" t="s">
        <v>20</v>
      </c>
      <c r="M866" t="s">
        <v>28</v>
      </c>
      <c r="N866" s="2">
        <v>31</v>
      </c>
      <c r="O866" t="str" cm="1">
        <f t="array" ref="O866">_xlfn.IFS(
  AND(BikePurchase[[#This Row],[Age]]&gt;=18, BikePurchase[[#This Row],[Age]]&lt;=30), "Adolescent",
  AND(BikePurchase[[#This Row],[Age]]&gt;30, BikePurchase[[#This Row],[Age]]&lt;55), "Middle Aged",
  AND(BikePurchase[[#This Row],[Age]]&gt;=55, BikePurchase[[#This Row],[Age]]&lt;90), "Old",
  TRUE, "Invalid"
)</f>
        <v>Middle Aged</v>
      </c>
      <c r="P866" t="s">
        <v>15</v>
      </c>
      <c r="Q866" t="str">
        <f>IF(BikePurchase[[#This Row],[Purchased BikeX]]="No","Not Purchased","Purchased")</f>
        <v>Not Purchased</v>
      </c>
    </row>
    <row r="867" spans="1:17" x14ac:dyDescent="0.3">
      <c r="A867">
        <v>22046</v>
      </c>
      <c r="B867" t="s">
        <v>31</v>
      </c>
      <c r="C867" t="str">
        <f t="shared" si="26"/>
        <v>Single</v>
      </c>
      <c r="D867" t="s">
        <v>29</v>
      </c>
      <c r="E867" t="str">
        <f t="shared" si="27"/>
        <v>Female</v>
      </c>
      <c r="F867" s="2">
        <v>80000</v>
      </c>
      <c r="G867">
        <v>0</v>
      </c>
      <c r="H867" t="s">
        <v>11</v>
      </c>
      <c r="I867" t="s">
        <v>25</v>
      </c>
      <c r="J867" t="s">
        <v>15</v>
      </c>
      <c r="K867">
        <v>1</v>
      </c>
      <c r="L867" t="s">
        <v>35</v>
      </c>
      <c r="M867" t="s">
        <v>28</v>
      </c>
      <c r="N867" s="2">
        <v>38</v>
      </c>
      <c r="O867" t="str" cm="1">
        <f t="array" ref="O867">_xlfn.IFS(
  AND(BikePurchase[[#This Row],[Age]]&gt;=18, BikePurchase[[#This Row],[Age]]&lt;=30), "Adolescent",
  AND(BikePurchase[[#This Row],[Age]]&gt;30, BikePurchase[[#This Row],[Age]]&lt;55), "Middle Aged",
  AND(BikePurchase[[#This Row],[Age]]&gt;=55, BikePurchase[[#This Row],[Age]]&lt;90), "Old",
  TRUE, "Invalid"
)</f>
        <v>Middle Aged</v>
      </c>
      <c r="P867" t="s">
        <v>13</v>
      </c>
      <c r="Q867" t="str">
        <f>IF(BikePurchase[[#This Row],[Purchased BikeX]]="No","Not Purchased","Purchased")</f>
        <v>Purchased</v>
      </c>
    </row>
    <row r="868" spans="1:17" x14ac:dyDescent="0.3">
      <c r="A868">
        <v>28052</v>
      </c>
      <c r="B868" t="s">
        <v>30</v>
      </c>
      <c r="C868" t="str">
        <f t="shared" si="26"/>
        <v>Married</v>
      </c>
      <c r="D868" t="s">
        <v>30</v>
      </c>
      <c r="E868" t="str">
        <f t="shared" si="27"/>
        <v>Male</v>
      </c>
      <c r="F868" s="2">
        <v>60000</v>
      </c>
      <c r="G868">
        <v>2</v>
      </c>
      <c r="H868" t="s">
        <v>24</v>
      </c>
      <c r="I868" t="s">
        <v>18</v>
      </c>
      <c r="J868" t="s">
        <v>13</v>
      </c>
      <c r="K868">
        <v>2</v>
      </c>
      <c r="L868" t="s">
        <v>48</v>
      </c>
      <c r="M868" t="s">
        <v>28</v>
      </c>
      <c r="N868" s="2">
        <v>55</v>
      </c>
      <c r="O868" t="str" cm="1">
        <f t="array" ref="O868">_xlfn.IFS(
  AND(BikePurchase[[#This Row],[Age]]&gt;=18, BikePurchase[[#This Row],[Age]]&lt;=30), "Adolescent",
  AND(BikePurchase[[#This Row],[Age]]&gt;30, BikePurchase[[#This Row],[Age]]&lt;55), "Middle Aged",
  AND(BikePurchase[[#This Row],[Age]]&gt;=55, BikePurchase[[#This Row],[Age]]&lt;90), "Old",
  TRUE, "Invalid"
)</f>
        <v>Old</v>
      </c>
      <c r="P868" t="s">
        <v>15</v>
      </c>
      <c r="Q868" t="str">
        <f>IF(BikePurchase[[#This Row],[Purchased BikeX]]="No","Not Purchased","Purchased")</f>
        <v>Not Purchased</v>
      </c>
    </row>
    <row r="869" spans="1:17" x14ac:dyDescent="0.3">
      <c r="A869">
        <v>26693</v>
      </c>
      <c r="B869" t="s">
        <v>30</v>
      </c>
      <c r="C869" t="str">
        <f t="shared" si="26"/>
        <v>Married</v>
      </c>
      <c r="D869" t="s">
        <v>30</v>
      </c>
      <c r="E869" t="str">
        <f t="shared" si="27"/>
        <v>Male</v>
      </c>
      <c r="F869" s="2">
        <v>70000</v>
      </c>
      <c r="G869">
        <v>3</v>
      </c>
      <c r="H869" t="s">
        <v>16</v>
      </c>
      <c r="I869" t="s">
        <v>18</v>
      </c>
      <c r="J869" t="s">
        <v>13</v>
      </c>
      <c r="K869">
        <v>1</v>
      </c>
      <c r="L869" t="s">
        <v>20</v>
      </c>
      <c r="M869" t="s">
        <v>28</v>
      </c>
      <c r="N869" s="2">
        <v>49</v>
      </c>
      <c r="O869" t="str" cm="1">
        <f t="array" ref="O869">_xlfn.IFS(
  AND(BikePurchase[[#This Row],[Age]]&gt;=18, BikePurchase[[#This Row],[Age]]&lt;=30), "Adolescent",
  AND(BikePurchase[[#This Row],[Age]]&gt;30, BikePurchase[[#This Row],[Age]]&lt;55), "Middle Aged",
  AND(BikePurchase[[#This Row],[Age]]&gt;=55, BikePurchase[[#This Row],[Age]]&lt;90), "Old",
  TRUE, "Invalid"
)</f>
        <v>Middle Aged</v>
      </c>
      <c r="P869" t="s">
        <v>15</v>
      </c>
      <c r="Q869" t="str">
        <f>IF(BikePurchase[[#This Row],[Purchased BikeX]]="No","Not Purchased","Purchased")</f>
        <v>Not Purchased</v>
      </c>
    </row>
    <row r="870" spans="1:17" x14ac:dyDescent="0.3">
      <c r="A870">
        <v>24955</v>
      </c>
      <c r="B870" t="s">
        <v>31</v>
      </c>
      <c r="C870" t="str">
        <f t="shared" si="26"/>
        <v>Single</v>
      </c>
      <c r="D870" t="s">
        <v>30</v>
      </c>
      <c r="E870" t="str">
        <f t="shared" si="27"/>
        <v>Male</v>
      </c>
      <c r="F870" s="2">
        <v>30000</v>
      </c>
      <c r="G870">
        <v>5</v>
      </c>
      <c r="H870" t="s">
        <v>26</v>
      </c>
      <c r="I870" t="s">
        <v>12</v>
      </c>
      <c r="J870" t="s">
        <v>13</v>
      </c>
      <c r="K870">
        <v>3</v>
      </c>
      <c r="L870" t="s">
        <v>48</v>
      </c>
      <c r="M870" t="s">
        <v>28</v>
      </c>
      <c r="N870" s="2">
        <v>60</v>
      </c>
      <c r="O870" t="str" cm="1">
        <f t="array" ref="O870">_xlfn.IFS(
  AND(BikePurchase[[#This Row],[Age]]&gt;=18, BikePurchase[[#This Row],[Age]]&lt;=30), "Adolescent",
  AND(BikePurchase[[#This Row],[Age]]&gt;30, BikePurchase[[#This Row],[Age]]&lt;55), "Middle Aged",
  AND(BikePurchase[[#This Row],[Age]]&gt;=55, BikePurchase[[#This Row],[Age]]&lt;90), "Old",
  TRUE, "Invalid"
)</f>
        <v>Old</v>
      </c>
      <c r="P870" t="s">
        <v>13</v>
      </c>
      <c r="Q870" t="str">
        <f>IF(BikePurchase[[#This Row],[Purchased BikeX]]="No","Not Purchased","Purchased")</f>
        <v>Purchased</v>
      </c>
    </row>
    <row r="871" spans="1:17" x14ac:dyDescent="0.3">
      <c r="A871">
        <v>26065</v>
      </c>
      <c r="B871" t="s">
        <v>31</v>
      </c>
      <c r="C871" t="str">
        <f t="shared" si="26"/>
        <v>Single</v>
      </c>
      <c r="D871" t="s">
        <v>29</v>
      </c>
      <c r="E871" t="str">
        <f t="shared" si="27"/>
        <v>Female</v>
      </c>
      <c r="F871" s="2">
        <v>110000</v>
      </c>
      <c r="G871">
        <v>3</v>
      </c>
      <c r="H871" t="s">
        <v>11</v>
      </c>
      <c r="I871" t="s">
        <v>25</v>
      </c>
      <c r="J871" t="s">
        <v>15</v>
      </c>
      <c r="K871">
        <v>4</v>
      </c>
      <c r="L871" t="s">
        <v>23</v>
      </c>
      <c r="M871" t="s">
        <v>28</v>
      </c>
      <c r="N871" s="2">
        <v>42</v>
      </c>
      <c r="O871" t="str" cm="1">
        <f t="array" ref="O871">_xlfn.IFS(
  AND(BikePurchase[[#This Row],[Age]]&gt;=18, BikePurchase[[#This Row],[Age]]&lt;=30), "Adolescent",
  AND(BikePurchase[[#This Row],[Age]]&gt;30, BikePurchase[[#This Row],[Age]]&lt;55), "Middle Aged",
  AND(BikePurchase[[#This Row],[Age]]&gt;=55, BikePurchase[[#This Row],[Age]]&lt;90), "Old",
  TRUE, "Invalid"
)</f>
        <v>Middle Aged</v>
      </c>
      <c r="P871" t="s">
        <v>15</v>
      </c>
      <c r="Q871" t="str">
        <f>IF(BikePurchase[[#This Row],[Purchased BikeX]]="No","Not Purchased","Purchased")</f>
        <v>Not Purchased</v>
      </c>
    </row>
    <row r="872" spans="1:17" x14ac:dyDescent="0.3">
      <c r="A872">
        <v>13942</v>
      </c>
      <c r="B872" t="s">
        <v>30</v>
      </c>
      <c r="C872" t="str">
        <f t="shared" si="26"/>
        <v>Married</v>
      </c>
      <c r="D872" t="s">
        <v>30</v>
      </c>
      <c r="E872" t="str">
        <f t="shared" si="27"/>
        <v>Male</v>
      </c>
      <c r="F872" s="2">
        <v>60000</v>
      </c>
      <c r="G872">
        <v>1</v>
      </c>
      <c r="H872" t="s">
        <v>16</v>
      </c>
      <c r="I872" t="s">
        <v>12</v>
      </c>
      <c r="J872" t="s">
        <v>13</v>
      </c>
      <c r="K872">
        <v>1</v>
      </c>
      <c r="L872" t="s">
        <v>35</v>
      </c>
      <c r="M872" t="s">
        <v>28</v>
      </c>
      <c r="N872" s="2">
        <v>46</v>
      </c>
      <c r="O872" t="str" cm="1">
        <f t="array" ref="O872">_xlfn.IFS(
  AND(BikePurchase[[#This Row],[Age]]&gt;=18, BikePurchase[[#This Row],[Age]]&lt;=30), "Adolescent",
  AND(BikePurchase[[#This Row],[Age]]&gt;30, BikePurchase[[#This Row],[Age]]&lt;55), "Middle Aged",
  AND(BikePurchase[[#This Row],[Age]]&gt;=55, BikePurchase[[#This Row],[Age]]&lt;90), "Old",
  TRUE, "Invalid"
)</f>
        <v>Middle Aged</v>
      </c>
      <c r="P872" t="s">
        <v>15</v>
      </c>
      <c r="Q872" t="str">
        <f>IF(BikePurchase[[#This Row],[Purchased BikeX]]="No","Not Purchased","Purchased")</f>
        <v>Not Purchased</v>
      </c>
    </row>
    <row r="873" spans="1:17" x14ac:dyDescent="0.3">
      <c r="A873">
        <v>11219</v>
      </c>
      <c r="B873" t="s">
        <v>30</v>
      </c>
      <c r="C873" t="str">
        <f t="shared" si="26"/>
        <v>Married</v>
      </c>
      <c r="D873" t="s">
        <v>30</v>
      </c>
      <c r="E873" t="str">
        <f t="shared" si="27"/>
        <v>Male</v>
      </c>
      <c r="F873" s="2">
        <v>60000</v>
      </c>
      <c r="G873">
        <v>2</v>
      </c>
      <c r="H873" t="s">
        <v>24</v>
      </c>
      <c r="I873" t="s">
        <v>18</v>
      </c>
      <c r="J873" t="s">
        <v>13</v>
      </c>
      <c r="K873">
        <v>2</v>
      </c>
      <c r="L873" t="s">
        <v>48</v>
      </c>
      <c r="M873" t="s">
        <v>28</v>
      </c>
      <c r="N873" s="2">
        <v>55</v>
      </c>
      <c r="O873" t="str" cm="1">
        <f t="array" ref="O873">_xlfn.IFS(
  AND(BikePurchase[[#This Row],[Age]]&gt;=18, BikePurchase[[#This Row],[Age]]&lt;=30), "Adolescent",
  AND(BikePurchase[[#This Row],[Age]]&gt;30, BikePurchase[[#This Row],[Age]]&lt;55), "Middle Aged",
  AND(BikePurchase[[#This Row],[Age]]&gt;=55, BikePurchase[[#This Row],[Age]]&lt;90), "Old",
  TRUE, "Invalid"
)</f>
        <v>Old</v>
      </c>
      <c r="P873" t="s">
        <v>15</v>
      </c>
      <c r="Q873" t="str">
        <f>IF(BikePurchase[[#This Row],[Purchased BikeX]]="No","Not Purchased","Purchased")</f>
        <v>Not Purchased</v>
      </c>
    </row>
    <row r="874" spans="1:17" x14ac:dyDescent="0.3">
      <c r="A874">
        <v>22118</v>
      </c>
      <c r="B874" t="s">
        <v>31</v>
      </c>
      <c r="C874" t="str">
        <f t="shared" si="26"/>
        <v>Single</v>
      </c>
      <c r="D874" t="s">
        <v>29</v>
      </c>
      <c r="E874" t="str">
        <f t="shared" si="27"/>
        <v>Female</v>
      </c>
      <c r="F874" s="2">
        <v>70000</v>
      </c>
      <c r="G874">
        <v>3</v>
      </c>
      <c r="H874" t="s">
        <v>27</v>
      </c>
      <c r="I874" t="s">
        <v>25</v>
      </c>
      <c r="J874" t="s">
        <v>13</v>
      </c>
      <c r="K874">
        <v>2</v>
      </c>
      <c r="L874" t="s">
        <v>20</v>
      </c>
      <c r="M874" t="s">
        <v>28</v>
      </c>
      <c r="N874" s="2">
        <v>53</v>
      </c>
      <c r="O874" t="str" cm="1">
        <f t="array" ref="O874">_xlfn.IFS(
  AND(BikePurchase[[#This Row],[Age]]&gt;=18, BikePurchase[[#This Row],[Age]]&lt;=30), "Adolescent",
  AND(BikePurchase[[#This Row],[Age]]&gt;30, BikePurchase[[#This Row],[Age]]&lt;55), "Middle Aged",
  AND(BikePurchase[[#This Row],[Age]]&gt;=55, BikePurchase[[#This Row],[Age]]&lt;90), "Old",
  TRUE, "Invalid"
)</f>
        <v>Middle Aged</v>
      </c>
      <c r="P874" t="s">
        <v>13</v>
      </c>
      <c r="Q874" t="str">
        <f>IF(BikePurchase[[#This Row],[Purchased BikeX]]="No","Not Purchased","Purchased")</f>
        <v>Purchased</v>
      </c>
    </row>
    <row r="875" spans="1:17" x14ac:dyDescent="0.3">
      <c r="A875">
        <v>23197</v>
      </c>
      <c r="B875" t="s">
        <v>30</v>
      </c>
      <c r="C875" t="str">
        <f t="shared" si="26"/>
        <v>Married</v>
      </c>
      <c r="D875" t="s">
        <v>30</v>
      </c>
      <c r="E875" t="str">
        <f t="shared" si="27"/>
        <v>Male</v>
      </c>
      <c r="F875" s="2">
        <v>50000</v>
      </c>
      <c r="G875">
        <v>3</v>
      </c>
      <c r="H875" t="s">
        <v>11</v>
      </c>
      <c r="I875" t="s">
        <v>12</v>
      </c>
      <c r="J875" t="s">
        <v>13</v>
      </c>
      <c r="K875">
        <v>2</v>
      </c>
      <c r="L875" t="s">
        <v>19</v>
      </c>
      <c r="M875" t="s">
        <v>28</v>
      </c>
      <c r="N875" s="2">
        <v>40</v>
      </c>
      <c r="O875" t="str" cm="1">
        <f t="array" ref="O875">_xlfn.IFS(
  AND(BikePurchase[[#This Row],[Age]]&gt;=18, BikePurchase[[#This Row],[Age]]&lt;=30), "Adolescent",
  AND(BikePurchase[[#This Row],[Age]]&gt;30, BikePurchase[[#This Row],[Age]]&lt;55), "Middle Aged",
  AND(BikePurchase[[#This Row],[Age]]&gt;=55, BikePurchase[[#This Row],[Age]]&lt;90), "Old",
  TRUE, "Invalid"
)</f>
        <v>Middle Aged</v>
      </c>
      <c r="P875" t="s">
        <v>15</v>
      </c>
      <c r="Q875" t="str">
        <f>IF(BikePurchase[[#This Row],[Purchased BikeX]]="No","Not Purchased","Purchased")</f>
        <v>Not Purchased</v>
      </c>
    </row>
    <row r="876" spans="1:17" x14ac:dyDescent="0.3">
      <c r="A876">
        <v>14883</v>
      </c>
      <c r="B876" t="s">
        <v>30</v>
      </c>
      <c r="C876" t="str">
        <f t="shared" si="26"/>
        <v>Married</v>
      </c>
      <c r="D876" t="s">
        <v>29</v>
      </c>
      <c r="E876" t="str">
        <f t="shared" si="27"/>
        <v>Female</v>
      </c>
      <c r="F876" s="2">
        <v>30000</v>
      </c>
      <c r="G876">
        <v>1</v>
      </c>
      <c r="H876" t="s">
        <v>11</v>
      </c>
      <c r="I876" t="s">
        <v>12</v>
      </c>
      <c r="J876" t="s">
        <v>13</v>
      </c>
      <c r="K876">
        <v>1</v>
      </c>
      <c r="L876" t="s">
        <v>20</v>
      </c>
      <c r="M876" t="s">
        <v>28</v>
      </c>
      <c r="N876" s="2">
        <v>53</v>
      </c>
      <c r="O876" t="str" cm="1">
        <f t="array" ref="O876">_xlfn.IFS(
  AND(BikePurchase[[#This Row],[Age]]&gt;=18, BikePurchase[[#This Row],[Age]]&lt;=30), "Adolescent",
  AND(BikePurchase[[#This Row],[Age]]&gt;30, BikePurchase[[#This Row],[Age]]&lt;55), "Middle Aged",
  AND(BikePurchase[[#This Row],[Age]]&gt;=55, BikePurchase[[#This Row],[Age]]&lt;90), "Old",
  TRUE, "Invalid"
)</f>
        <v>Middle Aged</v>
      </c>
      <c r="P876" t="s">
        <v>13</v>
      </c>
      <c r="Q876" t="str">
        <f>IF(BikePurchase[[#This Row],[Purchased BikeX]]="No","Not Purchased","Purchased")</f>
        <v>Purchased</v>
      </c>
    </row>
    <row r="877" spans="1:17" x14ac:dyDescent="0.3">
      <c r="A877">
        <v>27279</v>
      </c>
      <c r="B877" t="s">
        <v>31</v>
      </c>
      <c r="C877" t="str">
        <f t="shared" si="26"/>
        <v>Single</v>
      </c>
      <c r="D877" t="s">
        <v>29</v>
      </c>
      <c r="E877" t="str">
        <f t="shared" si="27"/>
        <v>Female</v>
      </c>
      <c r="F877" s="2">
        <v>70000</v>
      </c>
      <c r="G877">
        <v>2</v>
      </c>
      <c r="H877" t="s">
        <v>11</v>
      </c>
      <c r="I877" t="s">
        <v>12</v>
      </c>
      <c r="J877" t="s">
        <v>13</v>
      </c>
      <c r="K877">
        <v>0</v>
      </c>
      <c r="L877" t="s">
        <v>19</v>
      </c>
      <c r="M877" t="s">
        <v>28</v>
      </c>
      <c r="N877" s="2">
        <v>38</v>
      </c>
      <c r="O877" t="str" cm="1">
        <f t="array" ref="O877">_xlfn.IFS(
  AND(BikePurchase[[#This Row],[Age]]&gt;=18, BikePurchase[[#This Row],[Age]]&lt;=30), "Adolescent",
  AND(BikePurchase[[#This Row],[Age]]&gt;30, BikePurchase[[#This Row],[Age]]&lt;55), "Middle Aged",
  AND(BikePurchase[[#This Row],[Age]]&gt;=55, BikePurchase[[#This Row],[Age]]&lt;90), "Old",
  TRUE, "Invalid"
)</f>
        <v>Middle Aged</v>
      </c>
      <c r="P877" t="s">
        <v>13</v>
      </c>
      <c r="Q877" t="str">
        <f>IF(BikePurchase[[#This Row],[Purchased BikeX]]="No","Not Purchased","Purchased")</f>
        <v>Purchased</v>
      </c>
    </row>
    <row r="878" spans="1:17" x14ac:dyDescent="0.3">
      <c r="A878">
        <v>18322</v>
      </c>
      <c r="B878" t="s">
        <v>31</v>
      </c>
      <c r="C878" t="str">
        <f t="shared" si="26"/>
        <v>Single</v>
      </c>
      <c r="D878" t="s">
        <v>30</v>
      </c>
      <c r="E878" t="str">
        <f t="shared" si="27"/>
        <v>Male</v>
      </c>
      <c r="F878" s="2">
        <v>30000</v>
      </c>
      <c r="G878">
        <v>0</v>
      </c>
      <c r="H878" t="s">
        <v>26</v>
      </c>
      <c r="I878" t="s">
        <v>17</v>
      </c>
      <c r="J878" t="s">
        <v>15</v>
      </c>
      <c r="K878">
        <v>2</v>
      </c>
      <c r="L878" t="s">
        <v>35</v>
      </c>
      <c r="M878" t="s">
        <v>28</v>
      </c>
      <c r="N878" s="2">
        <v>26</v>
      </c>
      <c r="O878" t="str" cm="1">
        <f t="array" ref="O878">_xlfn.IFS(
  AND(BikePurchase[[#This Row],[Age]]&gt;=18, BikePurchase[[#This Row],[Age]]&lt;=30), "Adolescent",
  AND(BikePurchase[[#This Row],[Age]]&gt;30, BikePurchase[[#This Row],[Age]]&lt;55), "Middle Aged",
  AND(BikePurchase[[#This Row],[Age]]&gt;=55, BikePurchase[[#This Row],[Age]]&lt;90), "Old",
  TRUE, "Invalid"
)</f>
        <v>Adolescent</v>
      </c>
      <c r="P878" t="s">
        <v>15</v>
      </c>
      <c r="Q878" t="str">
        <f>IF(BikePurchase[[#This Row],[Purchased BikeX]]="No","Not Purchased","Purchased")</f>
        <v>Not Purchased</v>
      </c>
    </row>
    <row r="879" spans="1:17" x14ac:dyDescent="0.3">
      <c r="A879">
        <v>15879</v>
      </c>
      <c r="B879" t="s">
        <v>30</v>
      </c>
      <c r="C879" t="str">
        <f t="shared" si="26"/>
        <v>Married</v>
      </c>
      <c r="D879" t="s">
        <v>30</v>
      </c>
      <c r="E879" t="str">
        <f t="shared" si="27"/>
        <v>Male</v>
      </c>
      <c r="F879" s="2">
        <v>70000</v>
      </c>
      <c r="G879">
        <v>5</v>
      </c>
      <c r="H879" t="s">
        <v>11</v>
      </c>
      <c r="I879" t="s">
        <v>25</v>
      </c>
      <c r="J879" t="s">
        <v>13</v>
      </c>
      <c r="K879">
        <v>2</v>
      </c>
      <c r="L879" t="s">
        <v>19</v>
      </c>
      <c r="M879" t="s">
        <v>28</v>
      </c>
      <c r="N879" s="2">
        <v>61</v>
      </c>
      <c r="O879" t="str" cm="1">
        <f t="array" ref="O879">_xlfn.IFS(
  AND(BikePurchase[[#This Row],[Age]]&gt;=18, BikePurchase[[#This Row],[Age]]&lt;=30), "Adolescent",
  AND(BikePurchase[[#This Row],[Age]]&gt;30, BikePurchase[[#This Row],[Age]]&lt;55), "Middle Aged",
  AND(BikePurchase[[#This Row],[Age]]&gt;=55, BikePurchase[[#This Row],[Age]]&lt;90), "Old",
  TRUE, "Invalid"
)</f>
        <v>Old</v>
      </c>
      <c r="P879" t="s">
        <v>15</v>
      </c>
      <c r="Q879" t="str">
        <f>IF(BikePurchase[[#This Row],[Purchased BikeX]]="No","Not Purchased","Purchased")</f>
        <v>Not Purchased</v>
      </c>
    </row>
    <row r="880" spans="1:17" x14ac:dyDescent="0.3">
      <c r="A880">
        <v>28278</v>
      </c>
      <c r="B880" t="s">
        <v>30</v>
      </c>
      <c r="C880" t="str">
        <f t="shared" si="26"/>
        <v>Married</v>
      </c>
      <c r="D880" t="s">
        <v>30</v>
      </c>
      <c r="E880" t="str">
        <f t="shared" si="27"/>
        <v>Male</v>
      </c>
      <c r="F880" s="2">
        <v>50000</v>
      </c>
      <c r="G880">
        <v>2</v>
      </c>
      <c r="H880" t="s">
        <v>27</v>
      </c>
      <c r="I880" t="s">
        <v>25</v>
      </c>
      <c r="J880" t="s">
        <v>13</v>
      </c>
      <c r="K880">
        <v>2</v>
      </c>
      <c r="L880" t="s">
        <v>20</v>
      </c>
      <c r="M880" t="s">
        <v>28</v>
      </c>
      <c r="N880" s="2">
        <v>71</v>
      </c>
      <c r="O880" t="str" cm="1">
        <f t="array" ref="O880">_xlfn.IFS(
  AND(BikePurchase[[#This Row],[Age]]&gt;=18, BikePurchase[[#This Row],[Age]]&lt;=30), "Adolescent",
  AND(BikePurchase[[#This Row],[Age]]&gt;30, BikePurchase[[#This Row],[Age]]&lt;55), "Middle Aged",
  AND(BikePurchase[[#This Row],[Age]]&gt;=55, BikePurchase[[#This Row],[Age]]&lt;90), "Old",
  TRUE, "Invalid"
)</f>
        <v>Old</v>
      </c>
      <c r="P880" t="s">
        <v>15</v>
      </c>
      <c r="Q880" t="str">
        <f>IF(BikePurchase[[#This Row],[Purchased BikeX]]="No","Not Purchased","Purchased")</f>
        <v>Not Purchased</v>
      </c>
    </row>
    <row r="881" spans="1:17" x14ac:dyDescent="0.3">
      <c r="A881">
        <v>24416</v>
      </c>
      <c r="B881" t="s">
        <v>30</v>
      </c>
      <c r="C881" t="str">
        <f t="shared" si="26"/>
        <v>Married</v>
      </c>
      <c r="D881" t="s">
        <v>30</v>
      </c>
      <c r="E881" t="str">
        <f t="shared" si="27"/>
        <v>Male</v>
      </c>
      <c r="F881" s="2">
        <v>90000</v>
      </c>
      <c r="G881">
        <v>4</v>
      </c>
      <c r="H881" t="s">
        <v>24</v>
      </c>
      <c r="I881" t="s">
        <v>18</v>
      </c>
      <c r="J881" t="s">
        <v>13</v>
      </c>
      <c r="K881">
        <v>2</v>
      </c>
      <c r="L881" t="s">
        <v>23</v>
      </c>
      <c r="M881" t="s">
        <v>28</v>
      </c>
      <c r="N881" s="2">
        <v>45</v>
      </c>
      <c r="O881" t="str" cm="1">
        <f t="array" ref="O881">_xlfn.IFS(
  AND(BikePurchase[[#This Row],[Age]]&gt;=18, BikePurchase[[#This Row],[Age]]&lt;=30), "Adolescent",
  AND(BikePurchase[[#This Row],[Age]]&gt;30, BikePurchase[[#This Row],[Age]]&lt;55), "Middle Aged",
  AND(BikePurchase[[#This Row],[Age]]&gt;=55, BikePurchase[[#This Row],[Age]]&lt;90), "Old",
  TRUE, "Invalid"
)</f>
        <v>Middle Aged</v>
      </c>
      <c r="P881" t="s">
        <v>15</v>
      </c>
      <c r="Q881" t="str">
        <f>IF(BikePurchase[[#This Row],[Purchased BikeX]]="No","Not Purchased","Purchased")</f>
        <v>Not Purchased</v>
      </c>
    </row>
    <row r="882" spans="1:17" x14ac:dyDescent="0.3">
      <c r="A882">
        <v>28066</v>
      </c>
      <c r="B882" t="s">
        <v>30</v>
      </c>
      <c r="C882" t="str">
        <f t="shared" si="26"/>
        <v>Married</v>
      </c>
      <c r="D882" t="s">
        <v>30</v>
      </c>
      <c r="E882" t="str">
        <f t="shared" si="27"/>
        <v>Male</v>
      </c>
      <c r="F882" s="2">
        <v>80000</v>
      </c>
      <c r="G882">
        <v>2</v>
      </c>
      <c r="H882" t="s">
        <v>27</v>
      </c>
      <c r="I882" t="s">
        <v>18</v>
      </c>
      <c r="J882" t="s">
        <v>13</v>
      </c>
      <c r="K882">
        <v>0</v>
      </c>
      <c r="L882" t="s">
        <v>35</v>
      </c>
      <c r="M882" t="s">
        <v>28</v>
      </c>
      <c r="N882" s="2">
        <v>37</v>
      </c>
      <c r="O882" t="str" cm="1">
        <f t="array" ref="O882">_xlfn.IFS(
  AND(BikePurchase[[#This Row],[Age]]&gt;=18, BikePurchase[[#This Row],[Age]]&lt;=30), "Adolescent",
  AND(BikePurchase[[#This Row],[Age]]&gt;30, BikePurchase[[#This Row],[Age]]&lt;55), "Middle Aged",
  AND(BikePurchase[[#This Row],[Age]]&gt;=55, BikePurchase[[#This Row],[Age]]&lt;90), "Old",
  TRUE, "Invalid"
)</f>
        <v>Middle Aged</v>
      </c>
      <c r="P882" t="s">
        <v>13</v>
      </c>
      <c r="Q882" t="str">
        <f>IF(BikePurchase[[#This Row],[Purchased BikeX]]="No","Not Purchased","Purchased")</f>
        <v>Purchased</v>
      </c>
    </row>
    <row r="883" spans="1:17" x14ac:dyDescent="0.3">
      <c r="A883">
        <v>11275</v>
      </c>
      <c r="B883" t="s">
        <v>30</v>
      </c>
      <c r="C883" t="str">
        <f t="shared" si="26"/>
        <v>Married</v>
      </c>
      <c r="D883" t="s">
        <v>29</v>
      </c>
      <c r="E883" t="str">
        <f t="shared" si="27"/>
        <v>Female</v>
      </c>
      <c r="F883" s="2">
        <v>80000</v>
      </c>
      <c r="G883">
        <v>4</v>
      </c>
      <c r="H883" t="s">
        <v>27</v>
      </c>
      <c r="I883" t="s">
        <v>25</v>
      </c>
      <c r="J883" t="s">
        <v>13</v>
      </c>
      <c r="K883">
        <v>2</v>
      </c>
      <c r="L883" t="s">
        <v>35</v>
      </c>
      <c r="M883" t="s">
        <v>28</v>
      </c>
      <c r="N883" s="2">
        <v>72</v>
      </c>
      <c r="O883" t="str" cm="1">
        <f t="array" ref="O883">_xlfn.IFS(
  AND(BikePurchase[[#This Row],[Age]]&gt;=18, BikePurchase[[#This Row],[Age]]&lt;=30), "Adolescent",
  AND(BikePurchase[[#This Row],[Age]]&gt;30, BikePurchase[[#This Row],[Age]]&lt;55), "Middle Aged",
  AND(BikePurchase[[#This Row],[Age]]&gt;=55, BikePurchase[[#This Row],[Age]]&lt;90), "Old",
  TRUE, "Invalid"
)</f>
        <v>Old</v>
      </c>
      <c r="P883" t="s">
        <v>13</v>
      </c>
      <c r="Q883" t="str">
        <f>IF(BikePurchase[[#This Row],[Purchased BikeX]]="No","Not Purchased","Purchased")</f>
        <v>Purchased</v>
      </c>
    </row>
    <row r="884" spans="1:17" x14ac:dyDescent="0.3">
      <c r="A884">
        <v>14872</v>
      </c>
      <c r="B884" t="s">
        <v>30</v>
      </c>
      <c r="C884" t="str">
        <f t="shared" si="26"/>
        <v>Married</v>
      </c>
      <c r="D884" t="s">
        <v>30</v>
      </c>
      <c r="E884" t="str">
        <f t="shared" si="27"/>
        <v>Male</v>
      </c>
      <c r="F884" s="2">
        <v>30000</v>
      </c>
      <c r="G884">
        <v>0</v>
      </c>
      <c r="H884" t="s">
        <v>27</v>
      </c>
      <c r="I884" t="s">
        <v>12</v>
      </c>
      <c r="J884" t="s">
        <v>13</v>
      </c>
      <c r="K884">
        <v>0</v>
      </c>
      <c r="L884" t="s">
        <v>35</v>
      </c>
      <c r="M884" t="s">
        <v>28</v>
      </c>
      <c r="N884" s="2">
        <v>32</v>
      </c>
      <c r="O884" t="str" cm="1">
        <f t="array" ref="O884">_xlfn.IFS(
  AND(BikePurchase[[#This Row],[Age]]&gt;=18, BikePurchase[[#This Row],[Age]]&lt;=30), "Adolescent",
  AND(BikePurchase[[#This Row],[Age]]&gt;30, BikePurchase[[#This Row],[Age]]&lt;55), "Middle Aged",
  AND(BikePurchase[[#This Row],[Age]]&gt;=55, BikePurchase[[#This Row],[Age]]&lt;90), "Old",
  TRUE, "Invalid"
)</f>
        <v>Middle Aged</v>
      </c>
      <c r="P884" t="s">
        <v>15</v>
      </c>
      <c r="Q884" t="str">
        <f>IF(BikePurchase[[#This Row],[Purchased BikeX]]="No","Not Purchased","Purchased")</f>
        <v>Not Purchased</v>
      </c>
    </row>
    <row r="885" spans="1:17" x14ac:dyDescent="0.3">
      <c r="A885">
        <v>16151</v>
      </c>
      <c r="B885" t="s">
        <v>30</v>
      </c>
      <c r="C885" t="str">
        <f t="shared" si="26"/>
        <v>Married</v>
      </c>
      <c r="D885" t="s">
        <v>29</v>
      </c>
      <c r="E885" t="str">
        <f t="shared" si="27"/>
        <v>Female</v>
      </c>
      <c r="F885" s="2">
        <v>60000</v>
      </c>
      <c r="G885">
        <v>1</v>
      </c>
      <c r="H885" t="s">
        <v>11</v>
      </c>
      <c r="I885" t="s">
        <v>18</v>
      </c>
      <c r="J885" t="s">
        <v>13</v>
      </c>
      <c r="K885">
        <v>1</v>
      </c>
      <c r="L885" t="s">
        <v>19</v>
      </c>
      <c r="M885" t="s">
        <v>28</v>
      </c>
      <c r="N885" s="2">
        <v>48</v>
      </c>
      <c r="O885" t="str" cm="1">
        <f t="array" ref="O885">_xlfn.IFS(
  AND(BikePurchase[[#This Row],[Age]]&gt;=18, BikePurchase[[#This Row],[Age]]&lt;=30), "Adolescent",
  AND(BikePurchase[[#This Row],[Age]]&gt;30, BikePurchase[[#This Row],[Age]]&lt;55), "Middle Aged",
  AND(BikePurchase[[#This Row],[Age]]&gt;=55, BikePurchase[[#This Row],[Age]]&lt;90), "Old",
  TRUE, "Invalid"
)</f>
        <v>Middle Aged</v>
      </c>
      <c r="P885" t="s">
        <v>13</v>
      </c>
      <c r="Q885" t="str">
        <f>IF(BikePurchase[[#This Row],[Purchased BikeX]]="No","Not Purchased","Purchased")</f>
        <v>Purchased</v>
      </c>
    </row>
    <row r="886" spans="1:17" x14ac:dyDescent="0.3">
      <c r="A886">
        <v>19731</v>
      </c>
      <c r="B886" t="s">
        <v>30</v>
      </c>
      <c r="C886" t="str">
        <f t="shared" si="26"/>
        <v>Married</v>
      </c>
      <c r="D886" t="s">
        <v>30</v>
      </c>
      <c r="E886" t="str">
        <f t="shared" si="27"/>
        <v>Male</v>
      </c>
      <c r="F886" s="2">
        <v>80000</v>
      </c>
      <c r="G886">
        <v>4</v>
      </c>
      <c r="H886" t="s">
        <v>27</v>
      </c>
      <c r="I886" t="s">
        <v>25</v>
      </c>
      <c r="J886" t="s">
        <v>13</v>
      </c>
      <c r="K886">
        <v>2</v>
      </c>
      <c r="L886" t="s">
        <v>20</v>
      </c>
      <c r="M886" t="s">
        <v>28</v>
      </c>
      <c r="N886" s="2">
        <v>68</v>
      </c>
      <c r="O886" t="str" cm="1">
        <f t="array" ref="O886">_xlfn.IFS(
  AND(BikePurchase[[#This Row],[Age]]&gt;=18, BikePurchase[[#This Row],[Age]]&lt;=30), "Adolescent",
  AND(BikePurchase[[#This Row],[Age]]&gt;30, BikePurchase[[#This Row],[Age]]&lt;55), "Middle Aged",
  AND(BikePurchase[[#This Row],[Age]]&gt;=55, BikePurchase[[#This Row],[Age]]&lt;90), "Old",
  TRUE, "Invalid"
)</f>
        <v>Old</v>
      </c>
      <c r="P886" t="s">
        <v>15</v>
      </c>
      <c r="Q886" t="str">
        <f>IF(BikePurchase[[#This Row],[Purchased BikeX]]="No","Not Purchased","Purchased")</f>
        <v>Not Purchased</v>
      </c>
    </row>
    <row r="887" spans="1:17" x14ac:dyDescent="0.3">
      <c r="A887">
        <v>23801</v>
      </c>
      <c r="B887" t="s">
        <v>30</v>
      </c>
      <c r="C887" t="str">
        <f t="shared" si="26"/>
        <v>Married</v>
      </c>
      <c r="D887" t="s">
        <v>29</v>
      </c>
      <c r="E887" t="str">
        <f t="shared" si="27"/>
        <v>Female</v>
      </c>
      <c r="F887" s="2">
        <v>20000</v>
      </c>
      <c r="G887">
        <v>2</v>
      </c>
      <c r="H887" t="s">
        <v>26</v>
      </c>
      <c r="I887" t="s">
        <v>17</v>
      </c>
      <c r="J887" t="s">
        <v>13</v>
      </c>
      <c r="K887">
        <v>2</v>
      </c>
      <c r="L887" t="s">
        <v>35</v>
      </c>
      <c r="M887" t="s">
        <v>28</v>
      </c>
      <c r="N887" s="2">
        <v>49</v>
      </c>
      <c r="O887" t="str" cm="1">
        <f t="array" ref="O887">_xlfn.IFS(
  AND(BikePurchase[[#This Row],[Age]]&gt;=18, BikePurchase[[#This Row],[Age]]&lt;=30), "Adolescent",
  AND(BikePurchase[[#This Row],[Age]]&gt;30, BikePurchase[[#This Row],[Age]]&lt;55), "Middle Aged",
  AND(BikePurchase[[#This Row],[Age]]&gt;=55, BikePurchase[[#This Row],[Age]]&lt;90), "Old",
  TRUE, "Invalid"
)</f>
        <v>Middle Aged</v>
      </c>
      <c r="P887" t="s">
        <v>15</v>
      </c>
      <c r="Q887" t="str">
        <f>IF(BikePurchase[[#This Row],[Purchased BikeX]]="No","Not Purchased","Purchased")</f>
        <v>Not Purchased</v>
      </c>
    </row>
    <row r="888" spans="1:17" x14ac:dyDescent="0.3">
      <c r="A888">
        <v>11807</v>
      </c>
      <c r="B888" t="s">
        <v>30</v>
      </c>
      <c r="C888" t="str">
        <f t="shared" si="26"/>
        <v>Married</v>
      </c>
      <c r="D888" t="s">
        <v>30</v>
      </c>
      <c r="E888" t="str">
        <f t="shared" si="27"/>
        <v>Male</v>
      </c>
      <c r="F888" s="2">
        <v>70000</v>
      </c>
      <c r="G888">
        <v>3</v>
      </c>
      <c r="H888" t="s">
        <v>27</v>
      </c>
      <c r="I888" t="s">
        <v>18</v>
      </c>
      <c r="J888" t="s">
        <v>13</v>
      </c>
      <c r="K888">
        <v>0</v>
      </c>
      <c r="L888" t="s">
        <v>19</v>
      </c>
      <c r="M888" t="s">
        <v>28</v>
      </c>
      <c r="N888" s="2">
        <v>34</v>
      </c>
      <c r="O888" t="str" cm="1">
        <f t="array" ref="O888">_xlfn.IFS(
  AND(BikePurchase[[#This Row],[Age]]&gt;=18, BikePurchase[[#This Row],[Age]]&lt;=30), "Adolescent",
  AND(BikePurchase[[#This Row],[Age]]&gt;30, BikePurchase[[#This Row],[Age]]&lt;55), "Middle Aged",
  AND(BikePurchase[[#This Row],[Age]]&gt;=55, BikePurchase[[#This Row],[Age]]&lt;90), "Old",
  TRUE, "Invalid"
)</f>
        <v>Middle Aged</v>
      </c>
      <c r="P888" t="s">
        <v>15</v>
      </c>
      <c r="Q888" t="str">
        <f>IF(BikePurchase[[#This Row],[Purchased BikeX]]="No","Not Purchased","Purchased")</f>
        <v>Not Purchased</v>
      </c>
    </row>
    <row r="889" spans="1:17" x14ac:dyDescent="0.3">
      <c r="A889">
        <v>11622</v>
      </c>
      <c r="B889" t="s">
        <v>30</v>
      </c>
      <c r="C889" t="str">
        <f t="shared" si="26"/>
        <v>Married</v>
      </c>
      <c r="D889" t="s">
        <v>30</v>
      </c>
      <c r="E889" t="str">
        <f t="shared" si="27"/>
        <v>Male</v>
      </c>
      <c r="F889" s="2">
        <v>50000</v>
      </c>
      <c r="G889">
        <v>0</v>
      </c>
      <c r="H889" t="s">
        <v>27</v>
      </c>
      <c r="I889" t="s">
        <v>12</v>
      </c>
      <c r="J889" t="s">
        <v>13</v>
      </c>
      <c r="K889">
        <v>0</v>
      </c>
      <c r="L889" t="s">
        <v>35</v>
      </c>
      <c r="M889" t="s">
        <v>28</v>
      </c>
      <c r="N889" s="2">
        <v>32</v>
      </c>
      <c r="O889" t="str" cm="1">
        <f t="array" ref="O889">_xlfn.IFS(
  AND(BikePurchase[[#This Row],[Age]]&gt;=18, BikePurchase[[#This Row],[Age]]&lt;=30), "Adolescent",
  AND(BikePurchase[[#This Row],[Age]]&gt;30, BikePurchase[[#This Row],[Age]]&lt;55), "Middle Aged",
  AND(BikePurchase[[#This Row],[Age]]&gt;=55, BikePurchase[[#This Row],[Age]]&lt;90), "Old",
  TRUE, "Invalid"
)</f>
        <v>Middle Aged</v>
      </c>
      <c r="P889" t="s">
        <v>15</v>
      </c>
      <c r="Q889" t="str">
        <f>IF(BikePurchase[[#This Row],[Purchased BikeX]]="No","Not Purchased","Purchased")</f>
        <v>Not Purchased</v>
      </c>
    </row>
    <row r="890" spans="1:17" x14ac:dyDescent="0.3">
      <c r="A890">
        <v>26597</v>
      </c>
      <c r="B890" t="s">
        <v>31</v>
      </c>
      <c r="C890" t="str">
        <f t="shared" si="26"/>
        <v>Single</v>
      </c>
      <c r="D890" t="s">
        <v>29</v>
      </c>
      <c r="E890" t="str">
        <f t="shared" si="27"/>
        <v>Female</v>
      </c>
      <c r="F890" s="2">
        <v>60000</v>
      </c>
      <c r="G890">
        <v>4</v>
      </c>
      <c r="H890" t="s">
        <v>11</v>
      </c>
      <c r="I890" t="s">
        <v>12</v>
      </c>
      <c r="J890" t="s">
        <v>15</v>
      </c>
      <c r="K890">
        <v>2</v>
      </c>
      <c r="L890" t="s">
        <v>35</v>
      </c>
      <c r="M890" t="s">
        <v>28</v>
      </c>
      <c r="N890" s="2">
        <v>42</v>
      </c>
      <c r="O890" t="str" cm="1">
        <f t="array" ref="O890">_xlfn.IFS(
  AND(BikePurchase[[#This Row],[Age]]&gt;=18, BikePurchase[[#This Row],[Age]]&lt;=30), "Adolescent",
  AND(BikePurchase[[#This Row],[Age]]&gt;30, BikePurchase[[#This Row],[Age]]&lt;55), "Middle Aged",
  AND(BikePurchase[[#This Row],[Age]]&gt;=55, BikePurchase[[#This Row],[Age]]&lt;90), "Old",
  TRUE, "Invalid"
)</f>
        <v>Middle Aged</v>
      </c>
      <c r="P890" t="s">
        <v>15</v>
      </c>
      <c r="Q890" t="str">
        <f>IF(BikePurchase[[#This Row],[Purchased BikeX]]="No","Not Purchased","Purchased")</f>
        <v>Not Purchased</v>
      </c>
    </row>
    <row r="891" spans="1:17" x14ac:dyDescent="0.3">
      <c r="A891">
        <v>27074</v>
      </c>
      <c r="B891" t="s">
        <v>30</v>
      </c>
      <c r="C891" t="str">
        <f t="shared" si="26"/>
        <v>Married</v>
      </c>
      <c r="D891" t="s">
        <v>29</v>
      </c>
      <c r="E891" t="str">
        <f t="shared" si="27"/>
        <v>Female</v>
      </c>
      <c r="F891" s="2">
        <v>70000</v>
      </c>
      <c r="G891">
        <v>1</v>
      </c>
      <c r="H891" t="s">
        <v>27</v>
      </c>
      <c r="I891" t="s">
        <v>12</v>
      </c>
      <c r="J891" t="s">
        <v>13</v>
      </c>
      <c r="K891">
        <v>0</v>
      </c>
      <c r="L891" t="s">
        <v>35</v>
      </c>
      <c r="M891" t="s">
        <v>28</v>
      </c>
      <c r="N891" s="2">
        <v>35</v>
      </c>
      <c r="O891" t="str" cm="1">
        <f t="array" ref="O891">_xlfn.IFS(
  AND(BikePurchase[[#This Row],[Age]]&gt;=18, BikePurchase[[#This Row],[Age]]&lt;=30), "Adolescent",
  AND(BikePurchase[[#This Row],[Age]]&gt;30, BikePurchase[[#This Row],[Age]]&lt;55), "Middle Aged",
  AND(BikePurchase[[#This Row],[Age]]&gt;=55, BikePurchase[[#This Row],[Age]]&lt;90), "Old",
  TRUE, "Invalid"
)</f>
        <v>Middle Aged</v>
      </c>
      <c r="P891" t="s">
        <v>13</v>
      </c>
      <c r="Q891" t="str">
        <f>IF(BikePurchase[[#This Row],[Purchased BikeX]]="No","Not Purchased","Purchased")</f>
        <v>Purchased</v>
      </c>
    </row>
    <row r="892" spans="1:17" x14ac:dyDescent="0.3">
      <c r="A892">
        <v>19228</v>
      </c>
      <c r="B892" t="s">
        <v>30</v>
      </c>
      <c r="C892" t="str">
        <f t="shared" si="26"/>
        <v>Married</v>
      </c>
      <c r="D892" t="s">
        <v>29</v>
      </c>
      <c r="E892" t="str">
        <f t="shared" si="27"/>
        <v>Female</v>
      </c>
      <c r="F892" s="2">
        <v>40000</v>
      </c>
      <c r="G892">
        <v>2</v>
      </c>
      <c r="H892" t="s">
        <v>16</v>
      </c>
      <c r="I892" t="s">
        <v>17</v>
      </c>
      <c r="J892" t="s">
        <v>13</v>
      </c>
      <c r="K892">
        <v>1</v>
      </c>
      <c r="L892" t="s">
        <v>35</v>
      </c>
      <c r="M892" t="s">
        <v>28</v>
      </c>
      <c r="N892" s="2">
        <v>48</v>
      </c>
      <c r="O892" t="str" cm="1">
        <f t="array" ref="O892">_xlfn.IFS(
  AND(BikePurchase[[#This Row],[Age]]&gt;=18, BikePurchase[[#This Row],[Age]]&lt;=30), "Adolescent",
  AND(BikePurchase[[#This Row],[Age]]&gt;30, BikePurchase[[#This Row],[Age]]&lt;55), "Middle Aged",
  AND(BikePurchase[[#This Row],[Age]]&gt;=55, BikePurchase[[#This Row],[Age]]&lt;90), "Old",
  TRUE, "Invalid"
)</f>
        <v>Middle Aged</v>
      </c>
      <c r="P892" t="s">
        <v>15</v>
      </c>
      <c r="Q892" t="str">
        <f>IF(BikePurchase[[#This Row],[Purchased BikeX]]="No","Not Purchased","Purchased")</f>
        <v>Not Purchased</v>
      </c>
    </row>
    <row r="893" spans="1:17" x14ac:dyDescent="0.3">
      <c r="A893">
        <v>13415</v>
      </c>
      <c r="B893" t="s">
        <v>31</v>
      </c>
      <c r="C893" t="str">
        <f t="shared" si="26"/>
        <v>Single</v>
      </c>
      <c r="D893" t="s">
        <v>30</v>
      </c>
      <c r="E893" t="str">
        <f t="shared" si="27"/>
        <v>Male</v>
      </c>
      <c r="F893" s="2">
        <v>100000</v>
      </c>
      <c r="G893">
        <v>1</v>
      </c>
      <c r="H893" t="s">
        <v>27</v>
      </c>
      <c r="I893" t="s">
        <v>25</v>
      </c>
      <c r="J893" t="s">
        <v>13</v>
      </c>
      <c r="K893">
        <v>3</v>
      </c>
      <c r="L893" t="s">
        <v>19</v>
      </c>
      <c r="M893" t="s">
        <v>28</v>
      </c>
      <c r="N893" s="2">
        <v>73</v>
      </c>
      <c r="O893" t="str" cm="1">
        <f t="array" ref="O893">_xlfn.IFS(
  AND(BikePurchase[[#This Row],[Age]]&gt;=18, BikePurchase[[#This Row],[Age]]&lt;=30), "Adolescent",
  AND(BikePurchase[[#This Row],[Age]]&gt;30, BikePurchase[[#This Row],[Age]]&lt;55), "Middle Aged",
  AND(BikePurchase[[#This Row],[Age]]&gt;=55, BikePurchase[[#This Row],[Age]]&lt;90), "Old",
  TRUE, "Invalid"
)</f>
        <v>Old</v>
      </c>
      <c r="P893" t="s">
        <v>13</v>
      </c>
      <c r="Q893" t="str">
        <f>IF(BikePurchase[[#This Row],[Purchased BikeX]]="No","Not Purchased","Purchased")</f>
        <v>Purchased</v>
      </c>
    </row>
    <row r="894" spans="1:17" x14ac:dyDescent="0.3">
      <c r="A894">
        <v>17000</v>
      </c>
      <c r="B894" t="s">
        <v>31</v>
      </c>
      <c r="C894" t="str">
        <f t="shared" si="26"/>
        <v>Single</v>
      </c>
      <c r="D894" t="s">
        <v>29</v>
      </c>
      <c r="E894" t="str">
        <f t="shared" si="27"/>
        <v>Female</v>
      </c>
      <c r="F894" s="2">
        <v>70000</v>
      </c>
      <c r="G894">
        <v>4</v>
      </c>
      <c r="H894" t="s">
        <v>11</v>
      </c>
      <c r="I894" t="s">
        <v>12</v>
      </c>
      <c r="J894" t="s">
        <v>13</v>
      </c>
      <c r="K894">
        <v>2</v>
      </c>
      <c r="L894" t="s">
        <v>19</v>
      </c>
      <c r="M894" t="s">
        <v>28</v>
      </c>
      <c r="N894" s="2">
        <v>43</v>
      </c>
      <c r="O894" t="str" cm="1">
        <f t="array" ref="O894">_xlfn.IFS(
  AND(BikePurchase[[#This Row],[Age]]&gt;=18, BikePurchase[[#This Row],[Age]]&lt;=30), "Adolescent",
  AND(BikePurchase[[#This Row],[Age]]&gt;30, BikePurchase[[#This Row],[Age]]&lt;55), "Middle Aged",
  AND(BikePurchase[[#This Row],[Age]]&gt;=55, BikePurchase[[#This Row],[Age]]&lt;90), "Old",
  TRUE, "Invalid"
)</f>
        <v>Middle Aged</v>
      </c>
      <c r="P894" t="s">
        <v>13</v>
      </c>
      <c r="Q894" t="str">
        <f>IF(BikePurchase[[#This Row],[Purchased BikeX]]="No","Not Purchased","Purchased")</f>
        <v>Purchased</v>
      </c>
    </row>
    <row r="895" spans="1:17" x14ac:dyDescent="0.3">
      <c r="A895">
        <v>14569</v>
      </c>
      <c r="B895" t="s">
        <v>30</v>
      </c>
      <c r="C895" t="str">
        <f t="shared" si="26"/>
        <v>Married</v>
      </c>
      <c r="D895" t="s">
        <v>30</v>
      </c>
      <c r="E895" t="str">
        <f t="shared" si="27"/>
        <v>Male</v>
      </c>
      <c r="F895" s="2">
        <v>60000</v>
      </c>
      <c r="G895">
        <v>1</v>
      </c>
      <c r="H895" t="s">
        <v>27</v>
      </c>
      <c r="I895" t="s">
        <v>18</v>
      </c>
      <c r="J895" t="s">
        <v>13</v>
      </c>
      <c r="K895">
        <v>0</v>
      </c>
      <c r="L895" t="s">
        <v>35</v>
      </c>
      <c r="M895" t="s">
        <v>28</v>
      </c>
      <c r="N895" s="2">
        <v>35</v>
      </c>
      <c r="O895" t="str" cm="1">
        <f t="array" ref="O895">_xlfn.IFS(
  AND(BikePurchase[[#This Row],[Age]]&gt;=18, BikePurchase[[#This Row],[Age]]&lt;=30), "Adolescent",
  AND(BikePurchase[[#This Row],[Age]]&gt;30, BikePurchase[[#This Row],[Age]]&lt;55), "Middle Aged",
  AND(BikePurchase[[#This Row],[Age]]&gt;=55, BikePurchase[[#This Row],[Age]]&lt;90), "Old",
  TRUE, "Invalid"
)</f>
        <v>Middle Aged</v>
      </c>
      <c r="P895" t="s">
        <v>15</v>
      </c>
      <c r="Q895" t="str">
        <f>IF(BikePurchase[[#This Row],[Purchased BikeX]]="No","Not Purchased","Purchased")</f>
        <v>Not Purchased</v>
      </c>
    </row>
    <row r="896" spans="1:17" x14ac:dyDescent="0.3">
      <c r="A896">
        <v>13873</v>
      </c>
      <c r="B896" t="s">
        <v>30</v>
      </c>
      <c r="C896" t="str">
        <f t="shared" si="26"/>
        <v>Married</v>
      </c>
      <c r="D896" t="s">
        <v>30</v>
      </c>
      <c r="E896" t="str">
        <f t="shared" si="27"/>
        <v>Male</v>
      </c>
      <c r="F896" s="2">
        <v>70000</v>
      </c>
      <c r="G896">
        <v>3</v>
      </c>
      <c r="H896" t="s">
        <v>27</v>
      </c>
      <c r="I896" t="s">
        <v>18</v>
      </c>
      <c r="J896" t="s">
        <v>13</v>
      </c>
      <c r="K896">
        <v>0</v>
      </c>
      <c r="L896" t="s">
        <v>35</v>
      </c>
      <c r="M896" t="s">
        <v>28</v>
      </c>
      <c r="N896" s="2">
        <v>35</v>
      </c>
      <c r="O896" t="str" cm="1">
        <f t="array" ref="O896">_xlfn.IFS(
  AND(BikePurchase[[#This Row],[Age]]&gt;=18, BikePurchase[[#This Row],[Age]]&lt;=30), "Adolescent",
  AND(BikePurchase[[#This Row],[Age]]&gt;30, BikePurchase[[#This Row],[Age]]&lt;55), "Middle Aged",
  AND(BikePurchase[[#This Row],[Age]]&gt;=55, BikePurchase[[#This Row],[Age]]&lt;90), "Old",
  TRUE, "Invalid"
)</f>
        <v>Middle Aged</v>
      </c>
      <c r="P896" t="s">
        <v>13</v>
      </c>
      <c r="Q896" t="str">
        <f>IF(BikePurchase[[#This Row],[Purchased BikeX]]="No","Not Purchased","Purchased")</f>
        <v>Purchased</v>
      </c>
    </row>
    <row r="897" spans="1:17" x14ac:dyDescent="0.3">
      <c r="A897">
        <v>20401</v>
      </c>
      <c r="B897" t="s">
        <v>30</v>
      </c>
      <c r="C897" t="str">
        <f t="shared" si="26"/>
        <v>Married</v>
      </c>
      <c r="D897" t="s">
        <v>29</v>
      </c>
      <c r="E897" t="str">
        <f t="shared" si="27"/>
        <v>Female</v>
      </c>
      <c r="F897" s="2">
        <v>50000</v>
      </c>
      <c r="G897">
        <v>4</v>
      </c>
      <c r="H897" t="s">
        <v>11</v>
      </c>
      <c r="I897" t="s">
        <v>25</v>
      </c>
      <c r="J897" t="s">
        <v>13</v>
      </c>
      <c r="K897">
        <v>2</v>
      </c>
      <c r="L897" t="s">
        <v>23</v>
      </c>
      <c r="M897" t="s">
        <v>28</v>
      </c>
      <c r="N897" s="2">
        <v>64</v>
      </c>
      <c r="O897" t="str" cm="1">
        <f t="array" ref="O897">_xlfn.IFS(
  AND(BikePurchase[[#This Row],[Age]]&gt;=18, BikePurchase[[#This Row],[Age]]&lt;=30), "Adolescent",
  AND(BikePurchase[[#This Row],[Age]]&gt;30, BikePurchase[[#This Row],[Age]]&lt;55), "Middle Aged",
  AND(BikePurchase[[#This Row],[Age]]&gt;=55, BikePurchase[[#This Row],[Age]]&lt;90), "Old",
  TRUE, "Invalid"
)</f>
        <v>Old</v>
      </c>
      <c r="P897" t="s">
        <v>13</v>
      </c>
      <c r="Q897" t="str">
        <f>IF(BikePurchase[[#This Row],[Purchased BikeX]]="No","Not Purchased","Purchased")</f>
        <v>Purchased</v>
      </c>
    </row>
    <row r="898" spans="1:17" x14ac:dyDescent="0.3">
      <c r="A898">
        <v>21583</v>
      </c>
      <c r="B898" t="s">
        <v>30</v>
      </c>
      <c r="C898" t="str">
        <f t="shared" ref="C898:C961" si="28">IF(B898="M","Married","Single")</f>
        <v>Married</v>
      </c>
      <c r="D898" t="s">
        <v>29</v>
      </c>
      <c r="E898" t="str">
        <f t="shared" ref="E898:E961" si="29">IF(D898="F","Female","Male")</f>
        <v>Female</v>
      </c>
      <c r="F898" s="2">
        <v>50000</v>
      </c>
      <c r="G898">
        <v>1</v>
      </c>
      <c r="H898" t="s">
        <v>11</v>
      </c>
      <c r="I898" t="s">
        <v>12</v>
      </c>
      <c r="J898" t="s">
        <v>13</v>
      </c>
      <c r="K898">
        <v>0</v>
      </c>
      <c r="L898" t="s">
        <v>35</v>
      </c>
      <c r="M898" t="s">
        <v>28</v>
      </c>
      <c r="N898" s="2">
        <v>34</v>
      </c>
      <c r="O898" t="str" cm="1">
        <f t="array" ref="O898">_xlfn.IFS(
  AND(BikePurchase[[#This Row],[Age]]&gt;=18, BikePurchase[[#This Row],[Age]]&lt;=30), "Adolescent",
  AND(BikePurchase[[#This Row],[Age]]&gt;30, BikePurchase[[#This Row],[Age]]&lt;55), "Middle Aged",
  AND(BikePurchase[[#This Row],[Age]]&gt;=55, BikePurchase[[#This Row],[Age]]&lt;90), "Old",
  TRUE, "Invalid"
)</f>
        <v>Middle Aged</v>
      </c>
      <c r="P898" t="s">
        <v>13</v>
      </c>
      <c r="Q898" t="str">
        <f>IF(BikePurchase[[#This Row],[Purchased BikeX]]="No","Not Purchased","Purchased")</f>
        <v>Purchased</v>
      </c>
    </row>
    <row r="899" spans="1:17" x14ac:dyDescent="0.3">
      <c r="A899">
        <v>12029</v>
      </c>
      <c r="B899" t="s">
        <v>30</v>
      </c>
      <c r="C899" t="str">
        <f t="shared" si="28"/>
        <v>Married</v>
      </c>
      <c r="D899" t="s">
        <v>30</v>
      </c>
      <c r="E899" t="str">
        <f t="shared" si="29"/>
        <v>Male</v>
      </c>
      <c r="F899" s="2">
        <v>30000</v>
      </c>
      <c r="G899">
        <v>0</v>
      </c>
      <c r="H899" t="s">
        <v>26</v>
      </c>
      <c r="I899" t="s">
        <v>17</v>
      </c>
      <c r="J899" t="s">
        <v>15</v>
      </c>
      <c r="K899">
        <v>2</v>
      </c>
      <c r="L899" t="s">
        <v>35</v>
      </c>
      <c r="M899" t="s">
        <v>28</v>
      </c>
      <c r="N899" s="2">
        <v>28</v>
      </c>
      <c r="O899" t="str" cm="1">
        <f t="array" ref="O899">_xlfn.IFS(
  AND(BikePurchase[[#This Row],[Age]]&gt;=18, BikePurchase[[#This Row],[Age]]&lt;=30), "Adolescent",
  AND(BikePurchase[[#This Row],[Age]]&gt;30, BikePurchase[[#This Row],[Age]]&lt;55), "Middle Aged",
  AND(BikePurchase[[#This Row],[Age]]&gt;=55, BikePurchase[[#This Row],[Age]]&lt;90), "Old",
  TRUE, "Invalid"
)</f>
        <v>Adolescent</v>
      </c>
      <c r="P899" t="s">
        <v>15</v>
      </c>
      <c r="Q899" t="str">
        <f>IF(BikePurchase[[#This Row],[Purchased BikeX]]="No","Not Purchased","Purchased")</f>
        <v>Not Purchased</v>
      </c>
    </row>
    <row r="900" spans="1:17" x14ac:dyDescent="0.3">
      <c r="A900">
        <v>18066</v>
      </c>
      <c r="B900" t="s">
        <v>31</v>
      </c>
      <c r="C900" t="str">
        <f t="shared" si="28"/>
        <v>Single</v>
      </c>
      <c r="D900" t="s">
        <v>30</v>
      </c>
      <c r="E900" t="str">
        <f t="shared" si="29"/>
        <v>Male</v>
      </c>
      <c r="F900" s="2">
        <v>70000</v>
      </c>
      <c r="G900">
        <v>5</v>
      </c>
      <c r="H900" t="s">
        <v>11</v>
      </c>
      <c r="I900" t="s">
        <v>25</v>
      </c>
      <c r="J900" t="s">
        <v>13</v>
      </c>
      <c r="K900">
        <v>3</v>
      </c>
      <c r="L900" t="s">
        <v>48</v>
      </c>
      <c r="M900" t="s">
        <v>28</v>
      </c>
      <c r="N900" s="2">
        <v>60</v>
      </c>
      <c r="O900" t="str" cm="1">
        <f t="array" ref="O900">_xlfn.IFS(
  AND(BikePurchase[[#This Row],[Age]]&gt;=18, BikePurchase[[#This Row],[Age]]&lt;=30), "Adolescent",
  AND(BikePurchase[[#This Row],[Age]]&gt;30, BikePurchase[[#This Row],[Age]]&lt;55), "Middle Aged",
  AND(BikePurchase[[#This Row],[Age]]&gt;=55, BikePurchase[[#This Row],[Age]]&lt;90), "Old",
  TRUE, "Invalid"
)</f>
        <v>Old</v>
      </c>
      <c r="P900" t="s">
        <v>13</v>
      </c>
      <c r="Q900" t="str">
        <f>IF(BikePurchase[[#This Row],[Purchased BikeX]]="No","Not Purchased","Purchased")</f>
        <v>Purchased</v>
      </c>
    </row>
    <row r="901" spans="1:17" x14ac:dyDescent="0.3">
      <c r="A901">
        <v>28192</v>
      </c>
      <c r="B901" t="s">
        <v>30</v>
      </c>
      <c r="C901" t="str">
        <f t="shared" si="28"/>
        <v>Married</v>
      </c>
      <c r="D901" t="s">
        <v>29</v>
      </c>
      <c r="E901" t="str">
        <f t="shared" si="29"/>
        <v>Female</v>
      </c>
      <c r="F901" s="2">
        <v>70000</v>
      </c>
      <c r="G901">
        <v>5</v>
      </c>
      <c r="H901" t="s">
        <v>27</v>
      </c>
      <c r="I901" t="s">
        <v>18</v>
      </c>
      <c r="J901" t="s">
        <v>13</v>
      </c>
      <c r="K901">
        <v>3</v>
      </c>
      <c r="L901" t="s">
        <v>48</v>
      </c>
      <c r="M901" t="s">
        <v>28</v>
      </c>
      <c r="N901" s="2">
        <v>46</v>
      </c>
      <c r="O901" t="str" cm="1">
        <f t="array" ref="O901">_xlfn.IFS(
  AND(BikePurchase[[#This Row],[Age]]&gt;=18, BikePurchase[[#This Row],[Age]]&lt;=30), "Adolescent",
  AND(BikePurchase[[#This Row],[Age]]&gt;30, BikePurchase[[#This Row],[Age]]&lt;55), "Middle Aged",
  AND(BikePurchase[[#This Row],[Age]]&gt;=55, BikePurchase[[#This Row],[Age]]&lt;90), "Old",
  TRUE, "Invalid"
)</f>
        <v>Middle Aged</v>
      </c>
      <c r="P901" t="s">
        <v>15</v>
      </c>
      <c r="Q901" t="str">
        <f>IF(BikePurchase[[#This Row],[Purchased BikeX]]="No","Not Purchased","Purchased")</f>
        <v>Not Purchased</v>
      </c>
    </row>
    <row r="902" spans="1:17" x14ac:dyDescent="0.3">
      <c r="A902">
        <v>16122</v>
      </c>
      <c r="B902" t="s">
        <v>30</v>
      </c>
      <c r="C902" t="str">
        <f t="shared" si="28"/>
        <v>Married</v>
      </c>
      <c r="D902" t="s">
        <v>30</v>
      </c>
      <c r="E902" t="str">
        <f t="shared" si="29"/>
        <v>Male</v>
      </c>
      <c r="F902" s="2">
        <v>40000</v>
      </c>
      <c r="G902">
        <v>4</v>
      </c>
      <c r="H902" t="s">
        <v>24</v>
      </c>
      <c r="I902" t="s">
        <v>12</v>
      </c>
      <c r="J902" t="s">
        <v>13</v>
      </c>
      <c r="K902">
        <v>2</v>
      </c>
      <c r="L902" t="s">
        <v>35</v>
      </c>
      <c r="M902" t="s">
        <v>28</v>
      </c>
      <c r="N902" s="2">
        <v>44</v>
      </c>
      <c r="O902" t="str" cm="1">
        <f t="array" ref="O902">_xlfn.IFS(
  AND(BikePurchase[[#This Row],[Age]]&gt;=18, BikePurchase[[#This Row],[Age]]&lt;=30), "Adolescent",
  AND(BikePurchase[[#This Row],[Age]]&gt;30, BikePurchase[[#This Row],[Age]]&lt;55), "Middle Aged",
  AND(BikePurchase[[#This Row],[Age]]&gt;=55, BikePurchase[[#This Row],[Age]]&lt;90), "Old",
  TRUE, "Invalid"
)</f>
        <v>Middle Aged</v>
      </c>
      <c r="P902" t="s">
        <v>13</v>
      </c>
      <c r="Q902" t="str">
        <f>IF(BikePurchase[[#This Row],[Purchased BikeX]]="No","Not Purchased","Purchased")</f>
        <v>Purchased</v>
      </c>
    </row>
    <row r="903" spans="1:17" x14ac:dyDescent="0.3">
      <c r="A903">
        <v>18607</v>
      </c>
      <c r="B903" t="s">
        <v>31</v>
      </c>
      <c r="C903" t="str">
        <f t="shared" si="28"/>
        <v>Single</v>
      </c>
      <c r="D903" t="s">
        <v>29</v>
      </c>
      <c r="E903" t="str">
        <f t="shared" si="29"/>
        <v>Female</v>
      </c>
      <c r="F903" s="2">
        <v>60000</v>
      </c>
      <c r="G903">
        <v>4</v>
      </c>
      <c r="H903" t="s">
        <v>11</v>
      </c>
      <c r="I903" t="s">
        <v>12</v>
      </c>
      <c r="J903" t="s">
        <v>13</v>
      </c>
      <c r="K903">
        <v>2</v>
      </c>
      <c r="L903" t="s">
        <v>19</v>
      </c>
      <c r="M903" t="s">
        <v>28</v>
      </c>
      <c r="N903" s="2">
        <v>42</v>
      </c>
      <c r="O903" t="str" cm="1">
        <f t="array" ref="O903">_xlfn.IFS(
  AND(BikePurchase[[#This Row],[Age]]&gt;=18, BikePurchase[[#This Row],[Age]]&lt;=30), "Adolescent",
  AND(BikePurchase[[#This Row],[Age]]&gt;30, BikePurchase[[#This Row],[Age]]&lt;55), "Middle Aged",
  AND(BikePurchase[[#This Row],[Age]]&gt;=55, BikePurchase[[#This Row],[Age]]&lt;90), "Old",
  TRUE, "Invalid"
)</f>
        <v>Middle Aged</v>
      </c>
      <c r="P903" t="s">
        <v>13</v>
      </c>
      <c r="Q903" t="str">
        <f>IF(BikePurchase[[#This Row],[Purchased BikeX]]="No","Not Purchased","Purchased")</f>
        <v>Purchased</v>
      </c>
    </row>
    <row r="904" spans="1:17" x14ac:dyDescent="0.3">
      <c r="A904">
        <v>28858</v>
      </c>
      <c r="B904" t="s">
        <v>31</v>
      </c>
      <c r="C904" t="str">
        <f t="shared" si="28"/>
        <v>Single</v>
      </c>
      <c r="D904" t="s">
        <v>30</v>
      </c>
      <c r="E904" t="str">
        <f t="shared" si="29"/>
        <v>Male</v>
      </c>
      <c r="F904" s="2">
        <v>80000</v>
      </c>
      <c r="G904">
        <v>3</v>
      </c>
      <c r="H904" t="s">
        <v>11</v>
      </c>
      <c r="I904" t="s">
        <v>12</v>
      </c>
      <c r="J904" t="s">
        <v>13</v>
      </c>
      <c r="K904">
        <v>0</v>
      </c>
      <c r="L904" t="s">
        <v>19</v>
      </c>
      <c r="M904" t="s">
        <v>28</v>
      </c>
      <c r="N904" s="2">
        <v>40</v>
      </c>
      <c r="O904" t="str" cm="1">
        <f t="array" ref="O904">_xlfn.IFS(
  AND(BikePurchase[[#This Row],[Age]]&gt;=18, BikePurchase[[#This Row],[Age]]&lt;=30), "Adolescent",
  AND(BikePurchase[[#This Row],[Age]]&gt;30, BikePurchase[[#This Row],[Age]]&lt;55), "Middle Aged",
  AND(BikePurchase[[#This Row],[Age]]&gt;=55, BikePurchase[[#This Row],[Age]]&lt;90), "Old",
  TRUE, "Invalid"
)</f>
        <v>Middle Aged</v>
      </c>
      <c r="P904" t="s">
        <v>15</v>
      </c>
      <c r="Q904" t="str">
        <f>IF(BikePurchase[[#This Row],[Purchased BikeX]]="No","Not Purchased","Purchased")</f>
        <v>Not Purchased</v>
      </c>
    </row>
    <row r="905" spans="1:17" x14ac:dyDescent="0.3">
      <c r="A905">
        <v>14432</v>
      </c>
      <c r="B905" t="s">
        <v>31</v>
      </c>
      <c r="C905" t="str">
        <f t="shared" si="28"/>
        <v>Single</v>
      </c>
      <c r="D905" t="s">
        <v>30</v>
      </c>
      <c r="E905" t="str">
        <f t="shared" si="29"/>
        <v>Male</v>
      </c>
      <c r="F905" s="2">
        <v>90000</v>
      </c>
      <c r="G905">
        <v>4</v>
      </c>
      <c r="H905" t="s">
        <v>27</v>
      </c>
      <c r="I905" t="s">
        <v>25</v>
      </c>
      <c r="J905" t="s">
        <v>13</v>
      </c>
      <c r="K905">
        <v>1</v>
      </c>
      <c r="L905" t="s">
        <v>20</v>
      </c>
      <c r="M905" t="s">
        <v>28</v>
      </c>
      <c r="N905" s="2">
        <v>73</v>
      </c>
      <c r="O905" t="str" cm="1">
        <f t="array" ref="O905">_xlfn.IFS(
  AND(BikePurchase[[#This Row],[Age]]&gt;=18, BikePurchase[[#This Row],[Age]]&lt;=30), "Adolescent",
  AND(BikePurchase[[#This Row],[Age]]&gt;30, BikePurchase[[#This Row],[Age]]&lt;55), "Middle Aged",
  AND(BikePurchase[[#This Row],[Age]]&gt;=55, BikePurchase[[#This Row],[Age]]&lt;90), "Old",
  TRUE, "Invalid"
)</f>
        <v>Old</v>
      </c>
      <c r="P905" t="s">
        <v>15</v>
      </c>
      <c r="Q905" t="str">
        <f>IF(BikePurchase[[#This Row],[Purchased BikeX]]="No","Not Purchased","Purchased")</f>
        <v>Not Purchased</v>
      </c>
    </row>
    <row r="906" spans="1:17" x14ac:dyDescent="0.3">
      <c r="A906">
        <v>26305</v>
      </c>
      <c r="B906" t="s">
        <v>31</v>
      </c>
      <c r="C906" t="str">
        <f t="shared" si="28"/>
        <v>Single</v>
      </c>
      <c r="D906" t="s">
        <v>29</v>
      </c>
      <c r="E906" t="str">
        <f t="shared" si="29"/>
        <v>Female</v>
      </c>
      <c r="F906" s="2">
        <v>60000</v>
      </c>
      <c r="G906">
        <v>2</v>
      </c>
      <c r="H906" t="s">
        <v>11</v>
      </c>
      <c r="I906" t="s">
        <v>12</v>
      </c>
      <c r="J906" t="s">
        <v>15</v>
      </c>
      <c r="K906">
        <v>0</v>
      </c>
      <c r="L906" t="s">
        <v>35</v>
      </c>
      <c r="M906" t="s">
        <v>28</v>
      </c>
      <c r="N906" s="2">
        <v>36</v>
      </c>
      <c r="O906" t="str" cm="1">
        <f t="array" ref="O906">_xlfn.IFS(
  AND(BikePurchase[[#This Row],[Age]]&gt;=18, BikePurchase[[#This Row],[Age]]&lt;=30), "Adolescent",
  AND(BikePurchase[[#This Row],[Age]]&gt;30, BikePurchase[[#This Row],[Age]]&lt;55), "Middle Aged",
  AND(BikePurchase[[#This Row],[Age]]&gt;=55, BikePurchase[[#This Row],[Age]]&lt;90), "Old",
  TRUE, "Invalid"
)</f>
        <v>Middle Aged</v>
      </c>
      <c r="P906" t="s">
        <v>13</v>
      </c>
      <c r="Q906" t="str">
        <f>IF(BikePurchase[[#This Row],[Purchased BikeX]]="No","Not Purchased","Purchased")</f>
        <v>Purchased</v>
      </c>
    </row>
    <row r="907" spans="1:17" x14ac:dyDescent="0.3">
      <c r="A907">
        <v>22050</v>
      </c>
      <c r="B907" t="s">
        <v>31</v>
      </c>
      <c r="C907" t="str">
        <f t="shared" si="28"/>
        <v>Single</v>
      </c>
      <c r="D907" t="s">
        <v>30</v>
      </c>
      <c r="E907" t="str">
        <f t="shared" si="29"/>
        <v>Male</v>
      </c>
      <c r="F907" s="2">
        <v>90000</v>
      </c>
      <c r="G907">
        <v>4</v>
      </c>
      <c r="H907" t="s">
        <v>11</v>
      </c>
      <c r="I907" t="s">
        <v>25</v>
      </c>
      <c r="J907" t="s">
        <v>13</v>
      </c>
      <c r="K907">
        <v>1</v>
      </c>
      <c r="L907" t="s">
        <v>23</v>
      </c>
      <c r="M907" t="s">
        <v>28</v>
      </c>
      <c r="N907" s="2">
        <v>38</v>
      </c>
      <c r="O907" t="str" cm="1">
        <f t="array" ref="O907">_xlfn.IFS(
  AND(BikePurchase[[#This Row],[Age]]&gt;=18, BikePurchase[[#This Row],[Age]]&lt;=30), "Adolescent",
  AND(BikePurchase[[#This Row],[Age]]&gt;30, BikePurchase[[#This Row],[Age]]&lt;55), "Middle Aged",
  AND(BikePurchase[[#This Row],[Age]]&gt;=55, BikePurchase[[#This Row],[Age]]&lt;90), "Old",
  TRUE, "Invalid"
)</f>
        <v>Middle Aged</v>
      </c>
      <c r="P907" t="s">
        <v>13</v>
      </c>
      <c r="Q907" t="str">
        <f>IF(BikePurchase[[#This Row],[Purchased BikeX]]="No","Not Purchased","Purchased")</f>
        <v>Purchased</v>
      </c>
    </row>
    <row r="908" spans="1:17" x14ac:dyDescent="0.3">
      <c r="A908">
        <v>25394</v>
      </c>
      <c r="B908" t="s">
        <v>30</v>
      </c>
      <c r="C908" t="str">
        <f t="shared" si="28"/>
        <v>Married</v>
      </c>
      <c r="D908" t="s">
        <v>30</v>
      </c>
      <c r="E908" t="str">
        <f t="shared" si="29"/>
        <v>Male</v>
      </c>
      <c r="F908" s="2">
        <v>60000</v>
      </c>
      <c r="G908">
        <v>1</v>
      </c>
      <c r="H908" t="s">
        <v>27</v>
      </c>
      <c r="I908" t="s">
        <v>18</v>
      </c>
      <c r="J908" t="s">
        <v>13</v>
      </c>
      <c r="K908">
        <v>0</v>
      </c>
      <c r="L908" t="s">
        <v>19</v>
      </c>
      <c r="M908" t="s">
        <v>28</v>
      </c>
      <c r="N908" s="2">
        <v>34</v>
      </c>
      <c r="O908" t="str" cm="1">
        <f t="array" ref="O908">_xlfn.IFS(
  AND(BikePurchase[[#This Row],[Age]]&gt;=18, BikePurchase[[#This Row],[Age]]&lt;=30), "Adolescent",
  AND(BikePurchase[[#This Row],[Age]]&gt;30, BikePurchase[[#This Row],[Age]]&lt;55), "Middle Aged",
  AND(BikePurchase[[#This Row],[Age]]&gt;=55, BikePurchase[[#This Row],[Age]]&lt;90), "Old",
  TRUE, "Invalid"
)</f>
        <v>Middle Aged</v>
      </c>
      <c r="P908" t="s">
        <v>13</v>
      </c>
      <c r="Q908" t="str">
        <f>IF(BikePurchase[[#This Row],[Purchased BikeX]]="No","Not Purchased","Purchased")</f>
        <v>Purchased</v>
      </c>
    </row>
    <row r="909" spans="1:17" x14ac:dyDescent="0.3">
      <c r="A909">
        <v>19747</v>
      </c>
      <c r="B909" t="s">
        <v>30</v>
      </c>
      <c r="C909" t="str">
        <f t="shared" si="28"/>
        <v>Married</v>
      </c>
      <c r="D909" t="s">
        <v>30</v>
      </c>
      <c r="E909" t="str">
        <f t="shared" si="29"/>
        <v>Male</v>
      </c>
      <c r="F909" s="2">
        <v>50000</v>
      </c>
      <c r="G909">
        <v>4</v>
      </c>
      <c r="H909" t="s">
        <v>11</v>
      </c>
      <c r="I909" t="s">
        <v>25</v>
      </c>
      <c r="J909" t="s">
        <v>13</v>
      </c>
      <c r="K909">
        <v>2</v>
      </c>
      <c r="L909" t="s">
        <v>48</v>
      </c>
      <c r="M909" t="s">
        <v>28</v>
      </c>
      <c r="N909" s="2">
        <v>63</v>
      </c>
      <c r="O909" t="str" cm="1">
        <f t="array" ref="O909">_xlfn.IFS(
  AND(BikePurchase[[#This Row],[Age]]&gt;=18, BikePurchase[[#This Row],[Age]]&lt;=30), "Adolescent",
  AND(BikePurchase[[#This Row],[Age]]&gt;30, BikePurchase[[#This Row],[Age]]&lt;55), "Middle Aged",
  AND(BikePurchase[[#This Row],[Age]]&gt;=55, BikePurchase[[#This Row],[Age]]&lt;90), "Old",
  TRUE, "Invalid"
)</f>
        <v>Old</v>
      </c>
      <c r="P909" t="s">
        <v>15</v>
      </c>
      <c r="Q909" t="str">
        <f>IF(BikePurchase[[#This Row],[Purchased BikeX]]="No","Not Purchased","Purchased")</f>
        <v>Not Purchased</v>
      </c>
    </row>
    <row r="910" spans="1:17" x14ac:dyDescent="0.3">
      <c r="A910">
        <v>23195</v>
      </c>
      <c r="B910" t="s">
        <v>31</v>
      </c>
      <c r="C910" t="str">
        <f t="shared" si="28"/>
        <v>Single</v>
      </c>
      <c r="D910" t="s">
        <v>30</v>
      </c>
      <c r="E910" t="str">
        <f t="shared" si="29"/>
        <v>Male</v>
      </c>
      <c r="F910" s="2">
        <v>50000</v>
      </c>
      <c r="G910">
        <v>3</v>
      </c>
      <c r="H910" t="s">
        <v>11</v>
      </c>
      <c r="I910" t="s">
        <v>12</v>
      </c>
      <c r="J910" t="s">
        <v>13</v>
      </c>
      <c r="K910">
        <v>2</v>
      </c>
      <c r="L910" t="s">
        <v>19</v>
      </c>
      <c r="M910" t="s">
        <v>28</v>
      </c>
      <c r="N910" s="2">
        <v>41</v>
      </c>
      <c r="O910" t="str" cm="1">
        <f t="array" ref="O910">_xlfn.IFS(
  AND(BikePurchase[[#This Row],[Age]]&gt;=18, BikePurchase[[#This Row],[Age]]&lt;=30), "Adolescent",
  AND(BikePurchase[[#This Row],[Age]]&gt;30, BikePurchase[[#This Row],[Age]]&lt;55), "Middle Aged",
  AND(BikePurchase[[#This Row],[Age]]&gt;=55, BikePurchase[[#This Row],[Age]]&lt;90), "Old",
  TRUE, "Invalid"
)</f>
        <v>Middle Aged</v>
      </c>
      <c r="P910" t="s">
        <v>13</v>
      </c>
      <c r="Q910" t="str">
        <f>IF(BikePurchase[[#This Row],[Purchased BikeX]]="No","Not Purchased","Purchased")</f>
        <v>Purchased</v>
      </c>
    </row>
    <row r="911" spans="1:17" x14ac:dyDescent="0.3">
      <c r="A911">
        <v>21695</v>
      </c>
      <c r="B911" t="s">
        <v>30</v>
      </c>
      <c r="C911" t="str">
        <f t="shared" si="28"/>
        <v>Married</v>
      </c>
      <c r="D911" t="s">
        <v>30</v>
      </c>
      <c r="E911" t="str">
        <f t="shared" si="29"/>
        <v>Male</v>
      </c>
      <c r="F911" s="2">
        <v>60000</v>
      </c>
      <c r="G911">
        <v>0</v>
      </c>
      <c r="H911" t="s">
        <v>27</v>
      </c>
      <c r="I911" t="s">
        <v>12</v>
      </c>
      <c r="J911" t="s">
        <v>13</v>
      </c>
      <c r="K911">
        <v>0</v>
      </c>
      <c r="L911" t="s">
        <v>23</v>
      </c>
      <c r="M911" t="s">
        <v>28</v>
      </c>
      <c r="N911" s="2">
        <v>39</v>
      </c>
      <c r="O911" t="str" cm="1">
        <f t="array" ref="O911">_xlfn.IFS(
  AND(BikePurchase[[#This Row],[Age]]&gt;=18, BikePurchase[[#This Row],[Age]]&lt;=30), "Adolescent",
  AND(BikePurchase[[#This Row],[Age]]&gt;30, BikePurchase[[#This Row],[Age]]&lt;55), "Middle Aged",
  AND(BikePurchase[[#This Row],[Age]]&gt;=55, BikePurchase[[#This Row],[Age]]&lt;90), "Old",
  TRUE, "Invalid"
)</f>
        <v>Middle Aged</v>
      </c>
      <c r="P911" t="s">
        <v>13</v>
      </c>
      <c r="Q911" t="str">
        <f>IF(BikePurchase[[#This Row],[Purchased BikeX]]="No","Not Purchased","Purchased")</f>
        <v>Purchased</v>
      </c>
    </row>
    <row r="912" spans="1:17" x14ac:dyDescent="0.3">
      <c r="A912">
        <v>13934</v>
      </c>
      <c r="B912" t="s">
        <v>30</v>
      </c>
      <c r="C912" t="str">
        <f t="shared" si="28"/>
        <v>Married</v>
      </c>
      <c r="D912" t="s">
        <v>30</v>
      </c>
      <c r="E912" t="str">
        <f t="shared" si="29"/>
        <v>Male</v>
      </c>
      <c r="F912" s="2">
        <v>40000</v>
      </c>
      <c r="G912">
        <v>4</v>
      </c>
      <c r="H912" t="s">
        <v>24</v>
      </c>
      <c r="I912" t="s">
        <v>12</v>
      </c>
      <c r="J912" t="s">
        <v>13</v>
      </c>
      <c r="K912">
        <v>2</v>
      </c>
      <c r="L912" t="s">
        <v>19</v>
      </c>
      <c r="M912" t="s">
        <v>28</v>
      </c>
      <c r="N912" s="2">
        <v>46</v>
      </c>
      <c r="O912" t="str" cm="1">
        <f t="array" ref="O912">_xlfn.IFS(
  AND(BikePurchase[[#This Row],[Age]]&gt;=18, BikePurchase[[#This Row],[Age]]&lt;=30), "Adolescent",
  AND(BikePurchase[[#This Row],[Age]]&gt;30, BikePurchase[[#This Row],[Age]]&lt;55), "Middle Aged",
  AND(BikePurchase[[#This Row],[Age]]&gt;=55, BikePurchase[[#This Row],[Age]]&lt;90), "Old",
  TRUE, "Invalid"
)</f>
        <v>Middle Aged</v>
      </c>
      <c r="P912" t="s">
        <v>15</v>
      </c>
      <c r="Q912" t="str">
        <f>IF(BikePurchase[[#This Row],[Purchased BikeX]]="No","Not Purchased","Purchased")</f>
        <v>Not Purchased</v>
      </c>
    </row>
    <row r="913" spans="1:17" x14ac:dyDescent="0.3">
      <c r="A913">
        <v>13337</v>
      </c>
      <c r="B913" t="s">
        <v>30</v>
      </c>
      <c r="C913" t="str">
        <f t="shared" si="28"/>
        <v>Married</v>
      </c>
      <c r="D913" t="s">
        <v>29</v>
      </c>
      <c r="E913" t="str">
        <f t="shared" si="29"/>
        <v>Female</v>
      </c>
      <c r="F913" s="2">
        <v>80000</v>
      </c>
      <c r="G913">
        <v>5</v>
      </c>
      <c r="H913" t="s">
        <v>11</v>
      </c>
      <c r="I913" t="s">
        <v>25</v>
      </c>
      <c r="J913" t="s">
        <v>13</v>
      </c>
      <c r="K913">
        <v>2</v>
      </c>
      <c r="L913" t="s">
        <v>20</v>
      </c>
      <c r="M913" t="s">
        <v>28</v>
      </c>
      <c r="N913" s="2">
        <v>64</v>
      </c>
      <c r="O913" t="str" cm="1">
        <f t="array" ref="O913">_xlfn.IFS(
  AND(BikePurchase[[#This Row],[Age]]&gt;=18, BikePurchase[[#This Row],[Age]]&lt;=30), "Adolescent",
  AND(BikePurchase[[#This Row],[Age]]&gt;30, BikePurchase[[#This Row],[Age]]&lt;55), "Middle Aged",
  AND(BikePurchase[[#This Row],[Age]]&gt;=55, BikePurchase[[#This Row],[Age]]&lt;90), "Old",
  TRUE, "Invalid"
)</f>
        <v>Old</v>
      </c>
      <c r="P913" t="s">
        <v>15</v>
      </c>
      <c r="Q913" t="str">
        <f>IF(BikePurchase[[#This Row],[Purchased BikeX]]="No","Not Purchased","Purchased")</f>
        <v>Not Purchased</v>
      </c>
    </row>
    <row r="914" spans="1:17" x14ac:dyDescent="0.3">
      <c r="A914">
        <v>27190</v>
      </c>
      <c r="B914" t="s">
        <v>30</v>
      </c>
      <c r="C914" t="str">
        <f t="shared" si="28"/>
        <v>Married</v>
      </c>
      <c r="D914" t="s">
        <v>29</v>
      </c>
      <c r="E914" t="str">
        <f t="shared" si="29"/>
        <v>Female</v>
      </c>
      <c r="F914" s="2">
        <v>40000</v>
      </c>
      <c r="G914">
        <v>3</v>
      </c>
      <c r="H914" t="s">
        <v>16</v>
      </c>
      <c r="I914" t="s">
        <v>17</v>
      </c>
      <c r="J914" t="s">
        <v>13</v>
      </c>
      <c r="K914">
        <v>1</v>
      </c>
      <c r="L914" t="s">
        <v>23</v>
      </c>
      <c r="M914" t="s">
        <v>28</v>
      </c>
      <c r="N914" s="2">
        <v>32</v>
      </c>
      <c r="O914" t="str" cm="1">
        <f t="array" ref="O914">_xlfn.IFS(
  AND(BikePurchase[[#This Row],[Age]]&gt;=18, BikePurchase[[#This Row],[Age]]&lt;=30), "Adolescent",
  AND(BikePurchase[[#This Row],[Age]]&gt;30, BikePurchase[[#This Row],[Age]]&lt;55), "Middle Aged",
  AND(BikePurchase[[#This Row],[Age]]&gt;=55, BikePurchase[[#This Row],[Age]]&lt;90), "Old",
  TRUE, "Invalid"
)</f>
        <v>Middle Aged</v>
      </c>
      <c r="P914" t="s">
        <v>15</v>
      </c>
      <c r="Q914" t="str">
        <f>IF(BikePurchase[[#This Row],[Purchased BikeX]]="No","Not Purchased","Purchased")</f>
        <v>Not Purchased</v>
      </c>
    </row>
    <row r="915" spans="1:17" x14ac:dyDescent="0.3">
      <c r="A915">
        <v>28657</v>
      </c>
      <c r="B915" t="s">
        <v>31</v>
      </c>
      <c r="C915" t="str">
        <f t="shared" si="28"/>
        <v>Single</v>
      </c>
      <c r="D915" t="s">
        <v>30</v>
      </c>
      <c r="E915" t="str">
        <f t="shared" si="29"/>
        <v>Male</v>
      </c>
      <c r="F915" s="2">
        <v>60000</v>
      </c>
      <c r="G915">
        <v>2</v>
      </c>
      <c r="H915" t="s">
        <v>11</v>
      </c>
      <c r="I915" t="s">
        <v>12</v>
      </c>
      <c r="J915" t="s">
        <v>13</v>
      </c>
      <c r="K915">
        <v>0</v>
      </c>
      <c r="L915" t="s">
        <v>19</v>
      </c>
      <c r="M915" t="s">
        <v>28</v>
      </c>
      <c r="N915" s="2">
        <v>36</v>
      </c>
      <c r="O915" t="str" cm="1">
        <f t="array" ref="O915">_xlfn.IFS(
  AND(BikePurchase[[#This Row],[Age]]&gt;=18, BikePurchase[[#This Row],[Age]]&lt;=30), "Adolescent",
  AND(BikePurchase[[#This Row],[Age]]&gt;30, BikePurchase[[#This Row],[Age]]&lt;55), "Middle Aged",
  AND(BikePurchase[[#This Row],[Age]]&gt;=55, BikePurchase[[#This Row],[Age]]&lt;90), "Old",
  TRUE, "Invalid"
)</f>
        <v>Middle Aged</v>
      </c>
      <c r="P915" t="s">
        <v>13</v>
      </c>
      <c r="Q915" t="str">
        <f>IF(BikePurchase[[#This Row],[Purchased BikeX]]="No","Not Purchased","Purchased")</f>
        <v>Purchased</v>
      </c>
    </row>
    <row r="916" spans="1:17" x14ac:dyDescent="0.3">
      <c r="A916">
        <v>21713</v>
      </c>
      <c r="B916" t="s">
        <v>31</v>
      </c>
      <c r="C916" t="str">
        <f t="shared" si="28"/>
        <v>Single</v>
      </c>
      <c r="D916" t="s">
        <v>30</v>
      </c>
      <c r="E916" t="str">
        <f t="shared" si="29"/>
        <v>Male</v>
      </c>
      <c r="F916" s="2">
        <v>80000</v>
      </c>
      <c r="G916">
        <v>5</v>
      </c>
      <c r="H916" t="s">
        <v>27</v>
      </c>
      <c r="I916" t="s">
        <v>12</v>
      </c>
      <c r="J916" t="s">
        <v>15</v>
      </c>
      <c r="K916">
        <v>0</v>
      </c>
      <c r="L916" t="s">
        <v>35</v>
      </c>
      <c r="M916" t="s">
        <v>28</v>
      </c>
      <c r="N916" s="2">
        <v>47</v>
      </c>
      <c r="O916" t="str" cm="1">
        <f t="array" ref="O916">_xlfn.IFS(
  AND(BikePurchase[[#This Row],[Age]]&gt;=18, BikePurchase[[#This Row],[Age]]&lt;=30), "Adolescent",
  AND(BikePurchase[[#This Row],[Age]]&gt;30, BikePurchase[[#This Row],[Age]]&lt;55), "Middle Aged",
  AND(BikePurchase[[#This Row],[Age]]&gt;=55, BikePurchase[[#This Row],[Age]]&lt;90), "Old",
  TRUE, "Invalid"
)</f>
        <v>Middle Aged</v>
      </c>
      <c r="P916" t="s">
        <v>15</v>
      </c>
      <c r="Q916" t="str">
        <f>IF(BikePurchase[[#This Row],[Purchased BikeX]]="No","Not Purchased","Purchased")</f>
        <v>Not Purchased</v>
      </c>
    </row>
    <row r="917" spans="1:17" x14ac:dyDescent="0.3">
      <c r="A917">
        <v>21752</v>
      </c>
      <c r="B917" t="s">
        <v>30</v>
      </c>
      <c r="C917" t="str">
        <f t="shared" si="28"/>
        <v>Married</v>
      </c>
      <c r="D917" t="s">
        <v>30</v>
      </c>
      <c r="E917" t="str">
        <f t="shared" si="29"/>
        <v>Male</v>
      </c>
      <c r="F917" s="2">
        <v>60000</v>
      </c>
      <c r="G917">
        <v>3</v>
      </c>
      <c r="H917" t="s">
        <v>27</v>
      </c>
      <c r="I917" t="s">
        <v>25</v>
      </c>
      <c r="J917" t="s">
        <v>13</v>
      </c>
      <c r="K917">
        <v>2</v>
      </c>
      <c r="L917" t="s">
        <v>48</v>
      </c>
      <c r="M917" t="s">
        <v>28</v>
      </c>
      <c r="N917" s="2">
        <v>64</v>
      </c>
      <c r="O917" t="str" cm="1">
        <f t="array" ref="O917">_xlfn.IFS(
  AND(BikePurchase[[#This Row],[Age]]&gt;=18, BikePurchase[[#This Row],[Age]]&lt;=30), "Adolescent",
  AND(BikePurchase[[#This Row],[Age]]&gt;30, BikePurchase[[#This Row],[Age]]&lt;55), "Middle Aged",
  AND(BikePurchase[[#This Row],[Age]]&gt;=55, BikePurchase[[#This Row],[Age]]&lt;90), "Old",
  TRUE, "Invalid"
)</f>
        <v>Old</v>
      </c>
      <c r="P917" t="s">
        <v>15</v>
      </c>
      <c r="Q917" t="str">
        <f>IF(BikePurchase[[#This Row],[Purchased BikeX]]="No","Not Purchased","Purchased")</f>
        <v>Not Purchased</v>
      </c>
    </row>
    <row r="918" spans="1:17" x14ac:dyDescent="0.3">
      <c r="A918">
        <v>27273</v>
      </c>
      <c r="B918" t="s">
        <v>31</v>
      </c>
      <c r="C918" t="str">
        <f t="shared" si="28"/>
        <v>Single</v>
      </c>
      <c r="D918" t="s">
        <v>30</v>
      </c>
      <c r="E918" t="str">
        <f t="shared" si="29"/>
        <v>Male</v>
      </c>
      <c r="F918" s="2">
        <v>70000</v>
      </c>
      <c r="G918">
        <v>3</v>
      </c>
      <c r="H918" t="s">
        <v>27</v>
      </c>
      <c r="I918" t="s">
        <v>18</v>
      </c>
      <c r="J918" t="s">
        <v>15</v>
      </c>
      <c r="K918">
        <v>0</v>
      </c>
      <c r="L918" t="s">
        <v>35</v>
      </c>
      <c r="M918" t="s">
        <v>28</v>
      </c>
      <c r="N918" s="2">
        <v>35</v>
      </c>
      <c r="O918" t="str" cm="1">
        <f t="array" ref="O918">_xlfn.IFS(
  AND(BikePurchase[[#This Row],[Age]]&gt;=18, BikePurchase[[#This Row],[Age]]&lt;=30), "Adolescent",
  AND(BikePurchase[[#This Row],[Age]]&gt;30, BikePurchase[[#This Row],[Age]]&lt;55), "Middle Aged",
  AND(BikePurchase[[#This Row],[Age]]&gt;=55, BikePurchase[[#This Row],[Age]]&lt;90), "Old",
  TRUE, "Invalid"
)</f>
        <v>Middle Aged</v>
      </c>
      <c r="P918" t="s">
        <v>13</v>
      </c>
      <c r="Q918" t="str">
        <f>IF(BikePurchase[[#This Row],[Purchased BikeX]]="No","Not Purchased","Purchased")</f>
        <v>Purchased</v>
      </c>
    </row>
    <row r="919" spans="1:17" x14ac:dyDescent="0.3">
      <c r="A919">
        <v>22719</v>
      </c>
      <c r="B919" t="s">
        <v>31</v>
      </c>
      <c r="C919" t="str">
        <f t="shared" si="28"/>
        <v>Single</v>
      </c>
      <c r="D919" t="s">
        <v>30</v>
      </c>
      <c r="E919" t="str">
        <f t="shared" si="29"/>
        <v>Male</v>
      </c>
      <c r="F919" s="2">
        <v>110000</v>
      </c>
      <c r="G919">
        <v>3</v>
      </c>
      <c r="H919" t="s">
        <v>11</v>
      </c>
      <c r="I919" t="s">
        <v>25</v>
      </c>
      <c r="J919" t="s">
        <v>13</v>
      </c>
      <c r="K919">
        <v>4</v>
      </c>
      <c r="L919" t="s">
        <v>19</v>
      </c>
      <c r="M919" t="s">
        <v>28</v>
      </c>
      <c r="N919" s="2">
        <v>40</v>
      </c>
      <c r="O919" t="str" cm="1">
        <f t="array" ref="O919">_xlfn.IFS(
  AND(BikePurchase[[#This Row],[Age]]&gt;=18, BikePurchase[[#This Row],[Age]]&lt;=30), "Adolescent",
  AND(BikePurchase[[#This Row],[Age]]&gt;30, BikePurchase[[#This Row],[Age]]&lt;55), "Middle Aged",
  AND(BikePurchase[[#This Row],[Age]]&gt;=55, BikePurchase[[#This Row],[Age]]&lt;90), "Old",
  TRUE, "Invalid"
)</f>
        <v>Middle Aged</v>
      </c>
      <c r="P919" t="s">
        <v>13</v>
      </c>
      <c r="Q919" t="str">
        <f>IF(BikePurchase[[#This Row],[Purchased BikeX]]="No","Not Purchased","Purchased")</f>
        <v>Purchased</v>
      </c>
    </row>
    <row r="920" spans="1:17" x14ac:dyDescent="0.3">
      <c r="A920">
        <v>22042</v>
      </c>
      <c r="B920" t="s">
        <v>30</v>
      </c>
      <c r="C920" t="str">
        <f t="shared" si="28"/>
        <v>Married</v>
      </c>
      <c r="D920" t="s">
        <v>29</v>
      </c>
      <c r="E920" t="str">
        <f t="shared" si="29"/>
        <v>Female</v>
      </c>
      <c r="F920" s="2">
        <v>70000</v>
      </c>
      <c r="G920">
        <v>0</v>
      </c>
      <c r="H920" t="s">
        <v>16</v>
      </c>
      <c r="I920" t="s">
        <v>12</v>
      </c>
      <c r="J920" t="s">
        <v>13</v>
      </c>
      <c r="K920">
        <v>2</v>
      </c>
      <c r="L920" t="s">
        <v>20</v>
      </c>
      <c r="M920" t="s">
        <v>28</v>
      </c>
      <c r="N920" s="2">
        <v>34</v>
      </c>
      <c r="O920" t="str" cm="1">
        <f t="array" ref="O920">_xlfn.IFS(
  AND(BikePurchase[[#This Row],[Age]]&gt;=18, BikePurchase[[#This Row],[Age]]&lt;=30), "Adolescent",
  AND(BikePurchase[[#This Row],[Age]]&gt;30, BikePurchase[[#This Row],[Age]]&lt;55), "Middle Aged",
  AND(BikePurchase[[#This Row],[Age]]&gt;=55, BikePurchase[[#This Row],[Age]]&lt;90), "Old",
  TRUE, "Invalid"
)</f>
        <v>Middle Aged</v>
      </c>
      <c r="P920" t="s">
        <v>13</v>
      </c>
      <c r="Q920" t="str">
        <f>IF(BikePurchase[[#This Row],[Purchased BikeX]]="No","Not Purchased","Purchased")</f>
        <v>Purchased</v>
      </c>
    </row>
    <row r="921" spans="1:17" x14ac:dyDescent="0.3">
      <c r="A921">
        <v>21451</v>
      </c>
      <c r="B921" t="s">
        <v>30</v>
      </c>
      <c r="C921" t="str">
        <f t="shared" si="28"/>
        <v>Married</v>
      </c>
      <c r="D921" t="s">
        <v>29</v>
      </c>
      <c r="E921" t="str">
        <f t="shared" si="29"/>
        <v>Female</v>
      </c>
      <c r="F921" s="2">
        <v>40000</v>
      </c>
      <c r="G921">
        <v>4</v>
      </c>
      <c r="H921" t="s">
        <v>24</v>
      </c>
      <c r="I921" t="s">
        <v>18</v>
      </c>
      <c r="J921" t="s">
        <v>13</v>
      </c>
      <c r="K921">
        <v>2</v>
      </c>
      <c r="L921" t="s">
        <v>48</v>
      </c>
      <c r="M921" t="s">
        <v>28</v>
      </c>
      <c r="N921" s="2">
        <v>61</v>
      </c>
      <c r="O921" t="str" cm="1">
        <f t="array" ref="O921">_xlfn.IFS(
  AND(BikePurchase[[#This Row],[Age]]&gt;=18, BikePurchase[[#This Row],[Age]]&lt;=30), "Adolescent",
  AND(BikePurchase[[#This Row],[Age]]&gt;30, BikePurchase[[#This Row],[Age]]&lt;55), "Middle Aged",
  AND(BikePurchase[[#This Row],[Age]]&gt;=55, BikePurchase[[#This Row],[Age]]&lt;90), "Old",
  TRUE, "Invalid"
)</f>
        <v>Old</v>
      </c>
      <c r="P921" t="s">
        <v>15</v>
      </c>
      <c r="Q921" t="str">
        <f>IF(BikePurchase[[#This Row],[Purchased BikeX]]="No","Not Purchased","Purchased")</f>
        <v>Not Purchased</v>
      </c>
    </row>
    <row r="922" spans="1:17" x14ac:dyDescent="0.3">
      <c r="A922">
        <v>20754</v>
      </c>
      <c r="B922" t="s">
        <v>30</v>
      </c>
      <c r="C922" t="str">
        <f t="shared" si="28"/>
        <v>Married</v>
      </c>
      <c r="D922" t="s">
        <v>30</v>
      </c>
      <c r="E922" t="str">
        <f t="shared" si="29"/>
        <v>Male</v>
      </c>
      <c r="F922" s="2">
        <v>30000</v>
      </c>
      <c r="G922">
        <v>2</v>
      </c>
      <c r="H922" t="s">
        <v>24</v>
      </c>
      <c r="I922" t="s">
        <v>12</v>
      </c>
      <c r="J922" t="s">
        <v>13</v>
      </c>
      <c r="K922">
        <v>2</v>
      </c>
      <c r="L922" t="s">
        <v>23</v>
      </c>
      <c r="M922" t="s">
        <v>28</v>
      </c>
      <c r="N922" s="2">
        <v>51</v>
      </c>
      <c r="O922" t="str" cm="1">
        <f t="array" ref="O922">_xlfn.IFS(
  AND(BikePurchase[[#This Row],[Age]]&gt;=18, BikePurchase[[#This Row],[Age]]&lt;=30), "Adolescent",
  AND(BikePurchase[[#This Row],[Age]]&gt;30, BikePurchase[[#This Row],[Age]]&lt;55), "Middle Aged",
  AND(BikePurchase[[#This Row],[Age]]&gt;=55, BikePurchase[[#This Row],[Age]]&lt;90), "Old",
  TRUE, "Invalid"
)</f>
        <v>Middle Aged</v>
      </c>
      <c r="P922" t="s">
        <v>15</v>
      </c>
      <c r="Q922" t="str">
        <f>IF(BikePurchase[[#This Row],[Purchased BikeX]]="No","Not Purchased","Purchased")</f>
        <v>Not Purchased</v>
      </c>
    </row>
    <row r="923" spans="1:17" x14ac:dyDescent="0.3">
      <c r="A923">
        <v>12153</v>
      </c>
      <c r="B923" t="s">
        <v>31</v>
      </c>
      <c r="C923" t="str">
        <f t="shared" si="28"/>
        <v>Single</v>
      </c>
      <c r="D923" t="s">
        <v>29</v>
      </c>
      <c r="E923" t="str">
        <f t="shared" si="29"/>
        <v>Female</v>
      </c>
      <c r="F923" s="2">
        <v>70000</v>
      </c>
      <c r="G923">
        <v>3</v>
      </c>
      <c r="H923" t="s">
        <v>16</v>
      </c>
      <c r="I923" t="s">
        <v>18</v>
      </c>
      <c r="J923" t="s">
        <v>13</v>
      </c>
      <c r="K923">
        <v>1</v>
      </c>
      <c r="L923" t="s">
        <v>20</v>
      </c>
      <c r="M923" t="s">
        <v>28</v>
      </c>
      <c r="N923" s="2">
        <v>49</v>
      </c>
      <c r="O923" t="str" cm="1">
        <f t="array" ref="O923">_xlfn.IFS(
  AND(BikePurchase[[#This Row],[Age]]&gt;=18, BikePurchase[[#This Row],[Age]]&lt;=30), "Adolescent",
  AND(BikePurchase[[#This Row],[Age]]&gt;30, BikePurchase[[#This Row],[Age]]&lt;55), "Middle Aged",
  AND(BikePurchase[[#This Row],[Age]]&gt;=55, BikePurchase[[#This Row],[Age]]&lt;90), "Old",
  TRUE, "Invalid"
)</f>
        <v>Middle Aged</v>
      </c>
      <c r="P923" t="s">
        <v>13</v>
      </c>
      <c r="Q923" t="str">
        <f>IF(BikePurchase[[#This Row],[Purchased BikeX]]="No","Not Purchased","Purchased")</f>
        <v>Purchased</v>
      </c>
    </row>
    <row r="924" spans="1:17" x14ac:dyDescent="0.3">
      <c r="A924">
        <v>16895</v>
      </c>
      <c r="B924" t="s">
        <v>30</v>
      </c>
      <c r="C924" t="str">
        <f t="shared" si="28"/>
        <v>Married</v>
      </c>
      <c r="D924" t="s">
        <v>29</v>
      </c>
      <c r="E924" t="str">
        <f t="shared" si="29"/>
        <v>Female</v>
      </c>
      <c r="F924" s="2">
        <v>40000</v>
      </c>
      <c r="G924">
        <v>3</v>
      </c>
      <c r="H924" t="s">
        <v>16</v>
      </c>
      <c r="I924" t="s">
        <v>18</v>
      </c>
      <c r="J924" t="s">
        <v>15</v>
      </c>
      <c r="K924">
        <v>2</v>
      </c>
      <c r="L924" t="s">
        <v>23</v>
      </c>
      <c r="M924" t="s">
        <v>28</v>
      </c>
      <c r="N924" s="2">
        <v>54</v>
      </c>
      <c r="O924" t="str" cm="1">
        <f t="array" ref="O924">_xlfn.IFS(
  AND(BikePurchase[[#This Row],[Age]]&gt;=18, BikePurchase[[#This Row],[Age]]&lt;=30), "Adolescent",
  AND(BikePurchase[[#This Row],[Age]]&gt;30, BikePurchase[[#This Row],[Age]]&lt;55), "Middle Aged",
  AND(BikePurchase[[#This Row],[Age]]&gt;=55, BikePurchase[[#This Row],[Age]]&lt;90), "Old",
  TRUE, "Invalid"
)</f>
        <v>Middle Aged</v>
      </c>
      <c r="P924" t="s">
        <v>13</v>
      </c>
      <c r="Q924" t="str">
        <f>IF(BikePurchase[[#This Row],[Purchased BikeX]]="No","Not Purchased","Purchased")</f>
        <v>Purchased</v>
      </c>
    </row>
    <row r="925" spans="1:17" x14ac:dyDescent="0.3">
      <c r="A925">
        <v>26728</v>
      </c>
      <c r="B925" t="s">
        <v>31</v>
      </c>
      <c r="C925" t="str">
        <f t="shared" si="28"/>
        <v>Single</v>
      </c>
      <c r="D925" t="s">
        <v>30</v>
      </c>
      <c r="E925" t="str">
        <f t="shared" si="29"/>
        <v>Male</v>
      </c>
      <c r="F925" s="2">
        <v>70000</v>
      </c>
      <c r="G925">
        <v>3</v>
      </c>
      <c r="H925" t="s">
        <v>27</v>
      </c>
      <c r="I925" t="s">
        <v>25</v>
      </c>
      <c r="J925" t="s">
        <v>15</v>
      </c>
      <c r="K925">
        <v>2</v>
      </c>
      <c r="L925" t="s">
        <v>23</v>
      </c>
      <c r="M925" t="s">
        <v>28</v>
      </c>
      <c r="N925" s="2">
        <v>53</v>
      </c>
      <c r="O925" t="str" cm="1">
        <f t="array" ref="O925">_xlfn.IFS(
  AND(BikePurchase[[#This Row],[Age]]&gt;=18, BikePurchase[[#This Row],[Age]]&lt;=30), "Adolescent",
  AND(BikePurchase[[#This Row],[Age]]&gt;30, BikePurchase[[#This Row],[Age]]&lt;55), "Middle Aged",
  AND(BikePurchase[[#This Row],[Age]]&gt;=55, BikePurchase[[#This Row],[Age]]&lt;90), "Old",
  TRUE, "Invalid"
)</f>
        <v>Middle Aged</v>
      </c>
      <c r="P925" t="s">
        <v>13</v>
      </c>
      <c r="Q925" t="str">
        <f>IF(BikePurchase[[#This Row],[Purchased BikeX]]="No","Not Purchased","Purchased")</f>
        <v>Purchased</v>
      </c>
    </row>
    <row r="926" spans="1:17" x14ac:dyDescent="0.3">
      <c r="A926">
        <v>11090</v>
      </c>
      <c r="B926" t="s">
        <v>31</v>
      </c>
      <c r="C926" t="str">
        <f t="shared" si="28"/>
        <v>Single</v>
      </c>
      <c r="D926" t="s">
        <v>30</v>
      </c>
      <c r="E926" t="str">
        <f t="shared" si="29"/>
        <v>Male</v>
      </c>
      <c r="F926" s="2">
        <v>90000</v>
      </c>
      <c r="G926">
        <v>2</v>
      </c>
      <c r="H926" t="s">
        <v>16</v>
      </c>
      <c r="I926" t="s">
        <v>18</v>
      </c>
      <c r="J926" t="s">
        <v>13</v>
      </c>
      <c r="K926">
        <v>1</v>
      </c>
      <c r="L926" t="s">
        <v>19</v>
      </c>
      <c r="M926" t="s">
        <v>28</v>
      </c>
      <c r="N926" s="2">
        <v>48</v>
      </c>
      <c r="O926" t="str" cm="1">
        <f t="array" ref="O926">_xlfn.IFS(
  AND(BikePurchase[[#This Row],[Age]]&gt;=18, BikePurchase[[#This Row],[Age]]&lt;=30), "Adolescent",
  AND(BikePurchase[[#This Row],[Age]]&gt;30, BikePurchase[[#This Row],[Age]]&lt;55), "Middle Aged",
  AND(BikePurchase[[#This Row],[Age]]&gt;=55, BikePurchase[[#This Row],[Age]]&lt;90), "Old",
  TRUE, "Invalid"
)</f>
        <v>Middle Aged</v>
      </c>
      <c r="P926" t="s">
        <v>13</v>
      </c>
      <c r="Q926" t="str">
        <f>IF(BikePurchase[[#This Row],[Purchased BikeX]]="No","Not Purchased","Purchased")</f>
        <v>Purchased</v>
      </c>
    </row>
    <row r="927" spans="1:17" x14ac:dyDescent="0.3">
      <c r="A927">
        <v>15862</v>
      </c>
      <c r="B927" t="s">
        <v>31</v>
      </c>
      <c r="C927" t="str">
        <f t="shared" si="28"/>
        <v>Single</v>
      </c>
      <c r="D927" t="s">
        <v>29</v>
      </c>
      <c r="E927" t="str">
        <f t="shared" si="29"/>
        <v>Female</v>
      </c>
      <c r="F927" s="2">
        <v>50000</v>
      </c>
      <c r="G927">
        <v>0</v>
      </c>
      <c r="H927" t="s">
        <v>27</v>
      </c>
      <c r="I927" t="s">
        <v>12</v>
      </c>
      <c r="J927" t="s">
        <v>13</v>
      </c>
      <c r="K927">
        <v>0</v>
      </c>
      <c r="L927" t="s">
        <v>23</v>
      </c>
      <c r="M927" t="s">
        <v>28</v>
      </c>
      <c r="N927" s="2">
        <v>33</v>
      </c>
      <c r="O927" t="str" cm="1">
        <f t="array" ref="O927">_xlfn.IFS(
  AND(BikePurchase[[#This Row],[Age]]&gt;=18, BikePurchase[[#This Row],[Age]]&lt;=30), "Adolescent",
  AND(BikePurchase[[#This Row],[Age]]&gt;30, BikePurchase[[#This Row],[Age]]&lt;55), "Middle Aged",
  AND(BikePurchase[[#This Row],[Age]]&gt;=55, BikePurchase[[#This Row],[Age]]&lt;90), "Old",
  TRUE, "Invalid"
)</f>
        <v>Middle Aged</v>
      </c>
      <c r="P927" t="s">
        <v>13</v>
      </c>
      <c r="Q927" t="str">
        <f>IF(BikePurchase[[#This Row],[Purchased BikeX]]="No","Not Purchased","Purchased")</f>
        <v>Purchased</v>
      </c>
    </row>
    <row r="928" spans="1:17" x14ac:dyDescent="0.3">
      <c r="A928">
        <v>26495</v>
      </c>
      <c r="B928" t="s">
        <v>31</v>
      </c>
      <c r="C928" t="str">
        <f t="shared" si="28"/>
        <v>Single</v>
      </c>
      <c r="D928" t="s">
        <v>29</v>
      </c>
      <c r="E928" t="str">
        <f t="shared" si="29"/>
        <v>Female</v>
      </c>
      <c r="F928" s="2">
        <v>40000</v>
      </c>
      <c r="G928">
        <v>2</v>
      </c>
      <c r="H928" t="s">
        <v>24</v>
      </c>
      <c r="I928" t="s">
        <v>18</v>
      </c>
      <c r="J928" t="s">
        <v>13</v>
      </c>
      <c r="K928">
        <v>2</v>
      </c>
      <c r="L928" t="s">
        <v>48</v>
      </c>
      <c r="M928" t="s">
        <v>28</v>
      </c>
      <c r="N928" s="2">
        <v>57</v>
      </c>
      <c r="O928" t="str" cm="1">
        <f t="array" ref="O928">_xlfn.IFS(
  AND(BikePurchase[[#This Row],[Age]]&gt;=18, BikePurchase[[#This Row],[Age]]&lt;=30), "Adolescent",
  AND(BikePurchase[[#This Row],[Age]]&gt;30, BikePurchase[[#This Row],[Age]]&lt;55), "Middle Aged",
  AND(BikePurchase[[#This Row],[Age]]&gt;=55, BikePurchase[[#This Row],[Age]]&lt;90), "Old",
  TRUE, "Invalid"
)</f>
        <v>Old</v>
      </c>
      <c r="P928" t="s">
        <v>15</v>
      </c>
      <c r="Q928" t="str">
        <f>IF(BikePurchase[[#This Row],[Purchased BikeX]]="No","Not Purchased","Purchased")</f>
        <v>Not Purchased</v>
      </c>
    </row>
    <row r="929" spans="1:17" x14ac:dyDescent="0.3">
      <c r="A929">
        <v>11823</v>
      </c>
      <c r="B929" t="s">
        <v>30</v>
      </c>
      <c r="C929" t="str">
        <f t="shared" si="28"/>
        <v>Married</v>
      </c>
      <c r="D929" t="s">
        <v>29</v>
      </c>
      <c r="E929" t="str">
        <f t="shared" si="29"/>
        <v>Female</v>
      </c>
      <c r="F929" s="2">
        <v>70000</v>
      </c>
      <c r="G929">
        <v>0</v>
      </c>
      <c r="H929" t="s">
        <v>27</v>
      </c>
      <c r="I929" t="s">
        <v>18</v>
      </c>
      <c r="J929" t="s">
        <v>13</v>
      </c>
      <c r="K929">
        <v>0</v>
      </c>
      <c r="L929" t="s">
        <v>19</v>
      </c>
      <c r="M929" t="s">
        <v>28</v>
      </c>
      <c r="N929" s="2">
        <v>39</v>
      </c>
      <c r="O929" t="str" cm="1">
        <f t="array" ref="O929">_xlfn.IFS(
  AND(BikePurchase[[#This Row],[Age]]&gt;=18, BikePurchase[[#This Row],[Age]]&lt;=30), "Adolescent",
  AND(BikePurchase[[#This Row],[Age]]&gt;30, BikePurchase[[#This Row],[Age]]&lt;55), "Middle Aged",
  AND(BikePurchase[[#This Row],[Age]]&gt;=55, BikePurchase[[#This Row],[Age]]&lt;90), "Old",
  TRUE, "Invalid"
)</f>
        <v>Middle Aged</v>
      </c>
      <c r="P929" t="s">
        <v>15</v>
      </c>
      <c r="Q929" t="str">
        <f>IF(BikePurchase[[#This Row],[Purchased BikeX]]="No","Not Purchased","Purchased")</f>
        <v>Not Purchased</v>
      </c>
    </row>
    <row r="930" spans="1:17" x14ac:dyDescent="0.3">
      <c r="A930">
        <v>23449</v>
      </c>
      <c r="B930" t="s">
        <v>30</v>
      </c>
      <c r="C930" t="str">
        <f t="shared" si="28"/>
        <v>Married</v>
      </c>
      <c r="D930" t="s">
        <v>30</v>
      </c>
      <c r="E930" t="str">
        <f t="shared" si="29"/>
        <v>Male</v>
      </c>
      <c r="F930" s="2">
        <v>60000</v>
      </c>
      <c r="G930">
        <v>2</v>
      </c>
      <c r="H930" t="s">
        <v>24</v>
      </c>
      <c r="I930" t="s">
        <v>18</v>
      </c>
      <c r="J930" t="s">
        <v>13</v>
      </c>
      <c r="K930">
        <v>2</v>
      </c>
      <c r="L930" t="s">
        <v>20</v>
      </c>
      <c r="M930" t="s">
        <v>28</v>
      </c>
      <c r="N930" s="2">
        <v>48</v>
      </c>
      <c r="O930" t="str" cm="1">
        <f t="array" ref="O930">_xlfn.IFS(
  AND(BikePurchase[[#This Row],[Age]]&gt;=18, BikePurchase[[#This Row],[Age]]&lt;=30), "Adolescent",
  AND(BikePurchase[[#This Row],[Age]]&gt;30, BikePurchase[[#This Row],[Age]]&lt;55), "Middle Aged",
  AND(BikePurchase[[#This Row],[Age]]&gt;=55, BikePurchase[[#This Row],[Age]]&lt;90), "Old",
  TRUE, "Invalid"
)</f>
        <v>Middle Aged</v>
      </c>
      <c r="P930" t="s">
        <v>15</v>
      </c>
      <c r="Q930" t="str">
        <f>IF(BikePurchase[[#This Row],[Purchased BikeX]]="No","Not Purchased","Purchased")</f>
        <v>Not Purchased</v>
      </c>
    </row>
    <row r="931" spans="1:17" x14ac:dyDescent="0.3">
      <c r="A931">
        <v>23459</v>
      </c>
      <c r="B931" t="s">
        <v>30</v>
      </c>
      <c r="C931" t="str">
        <f t="shared" si="28"/>
        <v>Married</v>
      </c>
      <c r="D931" t="s">
        <v>30</v>
      </c>
      <c r="E931" t="str">
        <f t="shared" si="29"/>
        <v>Male</v>
      </c>
      <c r="F931" s="2">
        <v>60000</v>
      </c>
      <c r="G931">
        <v>2</v>
      </c>
      <c r="H931" t="s">
        <v>24</v>
      </c>
      <c r="I931" t="s">
        <v>18</v>
      </c>
      <c r="J931" t="s">
        <v>13</v>
      </c>
      <c r="K931">
        <v>2</v>
      </c>
      <c r="L931" t="s">
        <v>20</v>
      </c>
      <c r="M931" t="s">
        <v>28</v>
      </c>
      <c r="N931" s="2">
        <v>50</v>
      </c>
      <c r="O931" t="str" cm="1">
        <f t="array" ref="O931">_xlfn.IFS(
  AND(BikePurchase[[#This Row],[Age]]&gt;=18, BikePurchase[[#This Row],[Age]]&lt;=30), "Adolescent",
  AND(BikePurchase[[#This Row],[Age]]&gt;30, BikePurchase[[#This Row],[Age]]&lt;55), "Middle Aged",
  AND(BikePurchase[[#This Row],[Age]]&gt;=55, BikePurchase[[#This Row],[Age]]&lt;90), "Old",
  TRUE, "Invalid"
)</f>
        <v>Middle Aged</v>
      </c>
      <c r="P931" t="s">
        <v>15</v>
      </c>
      <c r="Q931" t="str">
        <f>IF(BikePurchase[[#This Row],[Purchased BikeX]]="No","Not Purchased","Purchased")</f>
        <v>Not Purchased</v>
      </c>
    </row>
    <row r="932" spans="1:17" x14ac:dyDescent="0.3">
      <c r="A932">
        <v>19543</v>
      </c>
      <c r="B932" t="s">
        <v>30</v>
      </c>
      <c r="C932" t="str">
        <f t="shared" si="28"/>
        <v>Married</v>
      </c>
      <c r="D932" t="s">
        <v>30</v>
      </c>
      <c r="E932" t="str">
        <f t="shared" si="29"/>
        <v>Male</v>
      </c>
      <c r="F932" s="2">
        <v>70000</v>
      </c>
      <c r="G932">
        <v>5</v>
      </c>
      <c r="H932" t="s">
        <v>27</v>
      </c>
      <c r="I932" t="s">
        <v>18</v>
      </c>
      <c r="J932" t="s">
        <v>15</v>
      </c>
      <c r="K932">
        <v>3</v>
      </c>
      <c r="L932" t="s">
        <v>48</v>
      </c>
      <c r="M932" t="s">
        <v>28</v>
      </c>
      <c r="N932" s="2">
        <v>47</v>
      </c>
      <c r="O932" t="str" cm="1">
        <f t="array" ref="O932">_xlfn.IFS(
  AND(BikePurchase[[#This Row],[Age]]&gt;=18, BikePurchase[[#This Row],[Age]]&lt;=30), "Adolescent",
  AND(BikePurchase[[#This Row],[Age]]&gt;30, BikePurchase[[#This Row],[Age]]&lt;55), "Middle Aged",
  AND(BikePurchase[[#This Row],[Age]]&gt;=55, BikePurchase[[#This Row],[Age]]&lt;90), "Old",
  TRUE, "Invalid"
)</f>
        <v>Middle Aged</v>
      </c>
      <c r="P932" t="s">
        <v>15</v>
      </c>
      <c r="Q932" t="str">
        <f>IF(BikePurchase[[#This Row],[Purchased BikeX]]="No","Not Purchased","Purchased")</f>
        <v>Not Purchased</v>
      </c>
    </row>
    <row r="933" spans="1:17" x14ac:dyDescent="0.3">
      <c r="A933">
        <v>14914</v>
      </c>
      <c r="B933" t="s">
        <v>30</v>
      </c>
      <c r="C933" t="str">
        <f t="shared" si="28"/>
        <v>Married</v>
      </c>
      <c r="D933" t="s">
        <v>29</v>
      </c>
      <c r="E933" t="str">
        <f t="shared" si="29"/>
        <v>Female</v>
      </c>
      <c r="F933" s="2">
        <v>40000</v>
      </c>
      <c r="G933">
        <v>1</v>
      </c>
      <c r="H933" t="s">
        <v>16</v>
      </c>
      <c r="I933" t="s">
        <v>17</v>
      </c>
      <c r="J933" t="s">
        <v>13</v>
      </c>
      <c r="K933">
        <v>1</v>
      </c>
      <c r="L933" t="s">
        <v>23</v>
      </c>
      <c r="M933" t="s">
        <v>28</v>
      </c>
      <c r="N933" s="2">
        <v>49</v>
      </c>
      <c r="O933" t="str" cm="1">
        <f t="array" ref="O933">_xlfn.IFS(
  AND(BikePurchase[[#This Row],[Age]]&gt;=18, BikePurchase[[#This Row],[Age]]&lt;=30), "Adolescent",
  AND(BikePurchase[[#This Row],[Age]]&gt;30, BikePurchase[[#This Row],[Age]]&lt;55), "Middle Aged",
  AND(BikePurchase[[#This Row],[Age]]&gt;=55, BikePurchase[[#This Row],[Age]]&lt;90), "Old",
  TRUE, "Invalid"
)</f>
        <v>Middle Aged</v>
      </c>
      <c r="P933" t="s">
        <v>13</v>
      </c>
      <c r="Q933" t="str">
        <f>IF(BikePurchase[[#This Row],[Purchased BikeX]]="No","Not Purchased","Purchased")</f>
        <v>Purchased</v>
      </c>
    </row>
    <row r="934" spans="1:17" x14ac:dyDescent="0.3">
      <c r="A934">
        <v>12033</v>
      </c>
      <c r="B934" t="s">
        <v>31</v>
      </c>
      <c r="C934" t="str">
        <f t="shared" si="28"/>
        <v>Single</v>
      </c>
      <c r="D934" t="s">
        <v>29</v>
      </c>
      <c r="E934" t="str">
        <f t="shared" si="29"/>
        <v>Female</v>
      </c>
      <c r="F934" s="2">
        <v>40000</v>
      </c>
      <c r="G934">
        <v>0</v>
      </c>
      <c r="H934" t="s">
        <v>24</v>
      </c>
      <c r="I934" t="s">
        <v>12</v>
      </c>
      <c r="J934" t="s">
        <v>15</v>
      </c>
      <c r="K934">
        <v>2</v>
      </c>
      <c r="L934" t="s">
        <v>35</v>
      </c>
      <c r="M934" t="s">
        <v>28</v>
      </c>
      <c r="N934" s="2">
        <v>27</v>
      </c>
      <c r="O934" t="str" cm="1">
        <f t="array" ref="O934">_xlfn.IFS(
  AND(BikePurchase[[#This Row],[Age]]&gt;=18, BikePurchase[[#This Row],[Age]]&lt;=30), "Adolescent",
  AND(BikePurchase[[#This Row],[Age]]&gt;30, BikePurchase[[#This Row],[Age]]&lt;55), "Middle Aged",
  AND(BikePurchase[[#This Row],[Age]]&gt;=55, BikePurchase[[#This Row],[Age]]&lt;90), "Old",
  TRUE, "Invalid"
)</f>
        <v>Adolescent</v>
      </c>
      <c r="P934" t="s">
        <v>13</v>
      </c>
      <c r="Q934" t="str">
        <f>IF(BikePurchase[[#This Row],[Purchased BikeX]]="No","Not Purchased","Purchased")</f>
        <v>Purchased</v>
      </c>
    </row>
    <row r="935" spans="1:17" x14ac:dyDescent="0.3">
      <c r="A935">
        <v>11941</v>
      </c>
      <c r="B935" t="s">
        <v>31</v>
      </c>
      <c r="C935" t="str">
        <f t="shared" si="28"/>
        <v>Single</v>
      </c>
      <c r="D935" t="s">
        <v>30</v>
      </c>
      <c r="E935" t="str">
        <f t="shared" si="29"/>
        <v>Male</v>
      </c>
      <c r="F935" s="2">
        <v>60000</v>
      </c>
      <c r="G935">
        <v>0</v>
      </c>
      <c r="H935" t="s">
        <v>16</v>
      </c>
      <c r="I935" t="s">
        <v>12</v>
      </c>
      <c r="J935" t="s">
        <v>13</v>
      </c>
      <c r="K935">
        <v>0</v>
      </c>
      <c r="L935" t="s">
        <v>20</v>
      </c>
      <c r="M935" t="s">
        <v>28</v>
      </c>
      <c r="N935" s="2">
        <v>29</v>
      </c>
      <c r="O935" t="str" cm="1">
        <f t="array" ref="O935">_xlfn.IFS(
  AND(BikePurchase[[#This Row],[Age]]&gt;=18, BikePurchase[[#This Row],[Age]]&lt;=30), "Adolescent",
  AND(BikePurchase[[#This Row],[Age]]&gt;30, BikePurchase[[#This Row],[Age]]&lt;55), "Middle Aged",
  AND(BikePurchase[[#This Row],[Age]]&gt;=55, BikePurchase[[#This Row],[Age]]&lt;90), "Old",
  TRUE, "Invalid"
)</f>
        <v>Adolescent</v>
      </c>
      <c r="P935" t="s">
        <v>15</v>
      </c>
      <c r="Q935" t="str">
        <f>IF(BikePurchase[[#This Row],[Purchased BikeX]]="No","Not Purchased","Purchased")</f>
        <v>Not Purchased</v>
      </c>
    </row>
    <row r="936" spans="1:17" x14ac:dyDescent="0.3">
      <c r="A936">
        <v>14389</v>
      </c>
      <c r="B936" t="s">
        <v>30</v>
      </c>
      <c r="C936" t="str">
        <f t="shared" si="28"/>
        <v>Married</v>
      </c>
      <c r="D936" t="s">
        <v>30</v>
      </c>
      <c r="E936" t="str">
        <f t="shared" si="29"/>
        <v>Male</v>
      </c>
      <c r="F936" s="2">
        <v>60000</v>
      </c>
      <c r="G936">
        <v>2</v>
      </c>
      <c r="H936" t="s">
        <v>11</v>
      </c>
      <c r="I936" t="s">
        <v>25</v>
      </c>
      <c r="J936" t="s">
        <v>13</v>
      </c>
      <c r="K936">
        <v>0</v>
      </c>
      <c r="L936" t="s">
        <v>19</v>
      </c>
      <c r="M936" t="s">
        <v>28</v>
      </c>
      <c r="N936" s="2">
        <v>59</v>
      </c>
      <c r="O936" t="str" cm="1">
        <f t="array" ref="O936">_xlfn.IFS(
  AND(BikePurchase[[#This Row],[Age]]&gt;=18, BikePurchase[[#This Row],[Age]]&lt;=30), "Adolescent",
  AND(BikePurchase[[#This Row],[Age]]&gt;30, BikePurchase[[#This Row],[Age]]&lt;55), "Middle Aged",
  AND(BikePurchase[[#This Row],[Age]]&gt;=55, BikePurchase[[#This Row],[Age]]&lt;90), "Old",
  TRUE, "Invalid"
)</f>
        <v>Old</v>
      </c>
      <c r="P936" t="s">
        <v>15</v>
      </c>
      <c r="Q936" t="str">
        <f>IF(BikePurchase[[#This Row],[Purchased BikeX]]="No","Not Purchased","Purchased")</f>
        <v>Not Purchased</v>
      </c>
    </row>
    <row r="937" spans="1:17" x14ac:dyDescent="0.3">
      <c r="A937">
        <v>18050</v>
      </c>
      <c r="B937" t="s">
        <v>30</v>
      </c>
      <c r="C937" t="str">
        <f t="shared" si="28"/>
        <v>Married</v>
      </c>
      <c r="D937" t="s">
        <v>29</v>
      </c>
      <c r="E937" t="str">
        <f t="shared" si="29"/>
        <v>Female</v>
      </c>
      <c r="F937" s="2">
        <v>60000</v>
      </c>
      <c r="G937">
        <v>1</v>
      </c>
      <c r="H937" t="s">
        <v>16</v>
      </c>
      <c r="I937" t="s">
        <v>12</v>
      </c>
      <c r="J937" t="s">
        <v>13</v>
      </c>
      <c r="K937">
        <v>1</v>
      </c>
      <c r="L937" t="s">
        <v>35</v>
      </c>
      <c r="M937" t="s">
        <v>28</v>
      </c>
      <c r="N937" s="2">
        <v>45</v>
      </c>
      <c r="O937" t="str" cm="1">
        <f t="array" ref="O937">_xlfn.IFS(
  AND(BikePurchase[[#This Row],[Age]]&gt;=18, BikePurchase[[#This Row],[Age]]&lt;=30), "Adolescent",
  AND(BikePurchase[[#This Row],[Age]]&gt;30, BikePurchase[[#This Row],[Age]]&lt;55), "Middle Aged",
  AND(BikePurchase[[#This Row],[Age]]&gt;=55, BikePurchase[[#This Row],[Age]]&lt;90), "Old",
  TRUE, "Invalid"
)</f>
        <v>Middle Aged</v>
      </c>
      <c r="P937" t="s">
        <v>13</v>
      </c>
      <c r="Q937" t="str">
        <f>IF(BikePurchase[[#This Row],[Purchased BikeX]]="No","Not Purchased","Purchased")</f>
        <v>Purchased</v>
      </c>
    </row>
    <row r="938" spans="1:17" x14ac:dyDescent="0.3">
      <c r="A938">
        <v>19856</v>
      </c>
      <c r="B938" t="s">
        <v>30</v>
      </c>
      <c r="C938" t="str">
        <f t="shared" si="28"/>
        <v>Married</v>
      </c>
      <c r="D938" t="s">
        <v>29</v>
      </c>
      <c r="E938" t="str">
        <f t="shared" si="29"/>
        <v>Female</v>
      </c>
      <c r="F938" s="2">
        <v>60000</v>
      </c>
      <c r="G938">
        <v>4</v>
      </c>
      <c r="H938" t="s">
        <v>11</v>
      </c>
      <c r="I938" t="s">
        <v>25</v>
      </c>
      <c r="J938" t="s">
        <v>13</v>
      </c>
      <c r="K938">
        <v>2</v>
      </c>
      <c r="L938" t="s">
        <v>19</v>
      </c>
      <c r="M938" t="s">
        <v>28</v>
      </c>
      <c r="N938" s="2">
        <v>60</v>
      </c>
      <c r="O938" t="str" cm="1">
        <f t="array" ref="O938">_xlfn.IFS(
  AND(BikePurchase[[#This Row],[Age]]&gt;=18, BikePurchase[[#This Row],[Age]]&lt;=30), "Adolescent",
  AND(BikePurchase[[#This Row],[Age]]&gt;30, BikePurchase[[#This Row],[Age]]&lt;55), "Middle Aged",
  AND(BikePurchase[[#This Row],[Age]]&gt;=55, BikePurchase[[#This Row],[Age]]&lt;90), "Old",
  TRUE, "Invalid"
)</f>
        <v>Old</v>
      </c>
      <c r="P938" t="s">
        <v>15</v>
      </c>
      <c r="Q938" t="str">
        <f>IF(BikePurchase[[#This Row],[Purchased BikeX]]="No","Not Purchased","Purchased")</f>
        <v>Not Purchased</v>
      </c>
    </row>
    <row r="939" spans="1:17" x14ac:dyDescent="0.3">
      <c r="A939">
        <v>11663</v>
      </c>
      <c r="B939" t="s">
        <v>30</v>
      </c>
      <c r="C939" t="str">
        <f t="shared" si="28"/>
        <v>Married</v>
      </c>
      <c r="D939" t="s">
        <v>30</v>
      </c>
      <c r="E939" t="str">
        <f t="shared" si="29"/>
        <v>Male</v>
      </c>
      <c r="F939" s="2">
        <v>70000</v>
      </c>
      <c r="G939">
        <v>4</v>
      </c>
      <c r="H939" t="s">
        <v>27</v>
      </c>
      <c r="I939" t="s">
        <v>18</v>
      </c>
      <c r="J939" t="s">
        <v>13</v>
      </c>
      <c r="K939">
        <v>0</v>
      </c>
      <c r="L939" t="s">
        <v>35</v>
      </c>
      <c r="M939" t="s">
        <v>28</v>
      </c>
      <c r="N939" s="2">
        <v>36</v>
      </c>
      <c r="O939" t="str" cm="1">
        <f t="array" ref="O939">_xlfn.IFS(
  AND(BikePurchase[[#This Row],[Age]]&gt;=18, BikePurchase[[#This Row],[Age]]&lt;=30), "Adolescent",
  AND(BikePurchase[[#This Row],[Age]]&gt;30, BikePurchase[[#This Row],[Age]]&lt;55), "Middle Aged",
  AND(BikePurchase[[#This Row],[Age]]&gt;=55, BikePurchase[[#This Row],[Age]]&lt;90), "Old",
  TRUE, "Invalid"
)</f>
        <v>Middle Aged</v>
      </c>
      <c r="P939" t="s">
        <v>13</v>
      </c>
      <c r="Q939" t="str">
        <f>IF(BikePurchase[[#This Row],[Purchased BikeX]]="No","Not Purchased","Purchased")</f>
        <v>Purchased</v>
      </c>
    </row>
    <row r="940" spans="1:17" x14ac:dyDescent="0.3">
      <c r="A940">
        <v>27740</v>
      </c>
      <c r="B940" t="s">
        <v>30</v>
      </c>
      <c r="C940" t="str">
        <f t="shared" si="28"/>
        <v>Married</v>
      </c>
      <c r="D940" t="s">
        <v>29</v>
      </c>
      <c r="E940" t="str">
        <f t="shared" si="29"/>
        <v>Female</v>
      </c>
      <c r="F940" s="2">
        <v>40000</v>
      </c>
      <c r="G940">
        <v>0</v>
      </c>
      <c r="H940" t="s">
        <v>24</v>
      </c>
      <c r="I940" t="s">
        <v>12</v>
      </c>
      <c r="J940" t="s">
        <v>13</v>
      </c>
      <c r="K940">
        <v>2</v>
      </c>
      <c r="L940" t="s">
        <v>20</v>
      </c>
      <c r="M940" t="s">
        <v>28</v>
      </c>
      <c r="N940" s="2">
        <v>27</v>
      </c>
      <c r="O940" t="str" cm="1">
        <f t="array" ref="O940">_xlfn.IFS(
  AND(BikePurchase[[#This Row],[Age]]&gt;=18, BikePurchase[[#This Row],[Age]]&lt;=30), "Adolescent",
  AND(BikePurchase[[#This Row],[Age]]&gt;30, BikePurchase[[#This Row],[Age]]&lt;55), "Middle Aged",
  AND(BikePurchase[[#This Row],[Age]]&gt;=55, BikePurchase[[#This Row],[Age]]&lt;90), "Old",
  TRUE, "Invalid"
)</f>
        <v>Adolescent</v>
      </c>
      <c r="P940" t="s">
        <v>15</v>
      </c>
      <c r="Q940" t="str">
        <f>IF(BikePurchase[[#This Row],[Purchased BikeX]]="No","Not Purchased","Purchased")</f>
        <v>Not Purchased</v>
      </c>
    </row>
    <row r="941" spans="1:17" x14ac:dyDescent="0.3">
      <c r="A941">
        <v>23455</v>
      </c>
      <c r="B941" t="s">
        <v>31</v>
      </c>
      <c r="C941" t="str">
        <f t="shared" si="28"/>
        <v>Single</v>
      </c>
      <c r="D941" t="s">
        <v>30</v>
      </c>
      <c r="E941" t="str">
        <f t="shared" si="29"/>
        <v>Male</v>
      </c>
      <c r="F941" s="2">
        <v>80000</v>
      </c>
      <c r="G941">
        <v>2</v>
      </c>
      <c r="H941" t="s">
        <v>26</v>
      </c>
      <c r="I941" t="s">
        <v>12</v>
      </c>
      <c r="J941" t="s">
        <v>15</v>
      </c>
      <c r="K941">
        <v>2</v>
      </c>
      <c r="L941" t="s">
        <v>23</v>
      </c>
      <c r="M941" t="s">
        <v>28</v>
      </c>
      <c r="N941" s="2">
        <v>50</v>
      </c>
      <c r="O941" t="str" cm="1">
        <f t="array" ref="O941">_xlfn.IFS(
  AND(BikePurchase[[#This Row],[Age]]&gt;=18, BikePurchase[[#This Row],[Age]]&lt;=30), "Adolescent",
  AND(BikePurchase[[#This Row],[Age]]&gt;30, BikePurchase[[#This Row],[Age]]&lt;55), "Middle Aged",
  AND(BikePurchase[[#This Row],[Age]]&gt;=55, BikePurchase[[#This Row],[Age]]&lt;90), "Old",
  TRUE, "Invalid"
)</f>
        <v>Middle Aged</v>
      </c>
      <c r="P941" t="s">
        <v>15</v>
      </c>
      <c r="Q941" t="str">
        <f>IF(BikePurchase[[#This Row],[Purchased BikeX]]="No","Not Purchased","Purchased")</f>
        <v>Not Purchased</v>
      </c>
    </row>
    <row r="942" spans="1:17" x14ac:dyDescent="0.3">
      <c r="A942">
        <v>15292</v>
      </c>
      <c r="B942" t="s">
        <v>31</v>
      </c>
      <c r="C942" t="str">
        <f t="shared" si="28"/>
        <v>Single</v>
      </c>
      <c r="D942" t="s">
        <v>29</v>
      </c>
      <c r="E942" t="str">
        <f t="shared" si="29"/>
        <v>Female</v>
      </c>
      <c r="F942" s="2">
        <v>60000</v>
      </c>
      <c r="G942">
        <v>1</v>
      </c>
      <c r="H942" t="s">
        <v>27</v>
      </c>
      <c r="I942" t="s">
        <v>12</v>
      </c>
      <c r="J942" t="s">
        <v>13</v>
      </c>
      <c r="K942">
        <v>0</v>
      </c>
      <c r="L942" t="s">
        <v>23</v>
      </c>
      <c r="M942" t="s">
        <v>28</v>
      </c>
      <c r="N942" s="2">
        <v>35</v>
      </c>
      <c r="O942" t="str" cm="1">
        <f t="array" ref="O942">_xlfn.IFS(
  AND(BikePurchase[[#This Row],[Age]]&gt;=18, BikePurchase[[#This Row],[Age]]&lt;=30), "Adolescent",
  AND(BikePurchase[[#This Row],[Age]]&gt;30, BikePurchase[[#This Row],[Age]]&lt;55), "Middle Aged",
  AND(BikePurchase[[#This Row],[Age]]&gt;=55, BikePurchase[[#This Row],[Age]]&lt;90), "Old",
  TRUE, "Invalid"
)</f>
        <v>Middle Aged</v>
      </c>
      <c r="P942" t="s">
        <v>15</v>
      </c>
      <c r="Q942" t="str">
        <f>IF(BikePurchase[[#This Row],[Purchased BikeX]]="No","Not Purchased","Purchased")</f>
        <v>Not Purchased</v>
      </c>
    </row>
    <row r="943" spans="1:17" x14ac:dyDescent="0.3">
      <c r="A943">
        <v>21587</v>
      </c>
      <c r="B943" t="s">
        <v>30</v>
      </c>
      <c r="C943" t="str">
        <f t="shared" si="28"/>
        <v>Married</v>
      </c>
      <c r="D943" t="s">
        <v>29</v>
      </c>
      <c r="E943" t="str">
        <f t="shared" si="29"/>
        <v>Female</v>
      </c>
      <c r="F943" s="2">
        <v>60000</v>
      </c>
      <c r="G943">
        <v>1</v>
      </c>
      <c r="H943" t="s">
        <v>27</v>
      </c>
      <c r="I943" t="s">
        <v>12</v>
      </c>
      <c r="J943" t="s">
        <v>13</v>
      </c>
      <c r="K943">
        <v>0</v>
      </c>
      <c r="L943" t="s">
        <v>19</v>
      </c>
      <c r="M943" t="s">
        <v>28</v>
      </c>
      <c r="N943" s="2">
        <v>34</v>
      </c>
      <c r="O943" t="str" cm="1">
        <f t="array" ref="O943">_xlfn.IFS(
  AND(BikePurchase[[#This Row],[Age]]&gt;=18, BikePurchase[[#This Row],[Age]]&lt;=30), "Adolescent",
  AND(BikePurchase[[#This Row],[Age]]&gt;30, BikePurchase[[#This Row],[Age]]&lt;55), "Middle Aged",
  AND(BikePurchase[[#This Row],[Age]]&gt;=55, BikePurchase[[#This Row],[Age]]&lt;90), "Old",
  TRUE, "Invalid"
)</f>
        <v>Middle Aged</v>
      </c>
      <c r="P943" t="s">
        <v>13</v>
      </c>
      <c r="Q943" t="str">
        <f>IF(BikePurchase[[#This Row],[Purchased BikeX]]="No","Not Purchased","Purchased")</f>
        <v>Purchased</v>
      </c>
    </row>
    <row r="944" spans="1:17" x14ac:dyDescent="0.3">
      <c r="A944">
        <v>23513</v>
      </c>
      <c r="B944" t="s">
        <v>30</v>
      </c>
      <c r="C944" t="str">
        <f t="shared" si="28"/>
        <v>Married</v>
      </c>
      <c r="D944" t="s">
        <v>29</v>
      </c>
      <c r="E944" t="str">
        <f t="shared" si="29"/>
        <v>Female</v>
      </c>
      <c r="F944" s="2">
        <v>40000</v>
      </c>
      <c r="G944">
        <v>3</v>
      </c>
      <c r="H944" t="s">
        <v>16</v>
      </c>
      <c r="I944" t="s">
        <v>18</v>
      </c>
      <c r="J944" t="s">
        <v>13</v>
      </c>
      <c r="K944">
        <v>2</v>
      </c>
      <c r="L944" t="s">
        <v>20</v>
      </c>
      <c r="M944" t="s">
        <v>28</v>
      </c>
      <c r="N944" s="2">
        <v>54</v>
      </c>
      <c r="O944" t="str" cm="1">
        <f t="array" ref="O944">_xlfn.IFS(
  AND(BikePurchase[[#This Row],[Age]]&gt;=18, BikePurchase[[#This Row],[Age]]&lt;=30), "Adolescent",
  AND(BikePurchase[[#This Row],[Age]]&gt;30, BikePurchase[[#This Row],[Age]]&lt;55), "Middle Aged",
  AND(BikePurchase[[#This Row],[Age]]&gt;=55, BikePurchase[[#This Row],[Age]]&lt;90), "Old",
  TRUE, "Invalid"
)</f>
        <v>Middle Aged</v>
      </c>
      <c r="P944" t="s">
        <v>15</v>
      </c>
      <c r="Q944" t="str">
        <f>IF(BikePurchase[[#This Row],[Purchased BikeX]]="No","Not Purchased","Purchased")</f>
        <v>Not Purchased</v>
      </c>
    </row>
    <row r="945" spans="1:17" x14ac:dyDescent="0.3">
      <c r="A945">
        <v>24322</v>
      </c>
      <c r="B945" t="s">
        <v>30</v>
      </c>
      <c r="C945" t="str">
        <f t="shared" si="28"/>
        <v>Married</v>
      </c>
      <c r="D945" t="s">
        <v>29</v>
      </c>
      <c r="E945" t="str">
        <f t="shared" si="29"/>
        <v>Female</v>
      </c>
      <c r="F945" s="2">
        <v>60000</v>
      </c>
      <c r="G945">
        <v>4</v>
      </c>
      <c r="H945" t="s">
        <v>11</v>
      </c>
      <c r="I945" t="s">
        <v>12</v>
      </c>
      <c r="J945" t="s">
        <v>15</v>
      </c>
      <c r="K945">
        <v>2</v>
      </c>
      <c r="L945" t="s">
        <v>35</v>
      </c>
      <c r="M945" t="s">
        <v>28</v>
      </c>
      <c r="N945" s="2">
        <v>42</v>
      </c>
      <c r="O945" t="str" cm="1">
        <f t="array" ref="O945">_xlfn.IFS(
  AND(BikePurchase[[#This Row],[Age]]&gt;=18, BikePurchase[[#This Row],[Age]]&lt;=30), "Adolescent",
  AND(BikePurchase[[#This Row],[Age]]&gt;30, BikePurchase[[#This Row],[Age]]&lt;55), "Middle Aged",
  AND(BikePurchase[[#This Row],[Age]]&gt;=55, BikePurchase[[#This Row],[Age]]&lt;90), "Old",
  TRUE, "Invalid"
)</f>
        <v>Middle Aged</v>
      </c>
      <c r="P945" t="s">
        <v>15</v>
      </c>
      <c r="Q945" t="str">
        <f>IF(BikePurchase[[#This Row],[Purchased BikeX]]="No","Not Purchased","Purchased")</f>
        <v>Not Purchased</v>
      </c>
    </row>
    <row r="946" spans="1:17" x14ac:dyDescent="0.3">
      <c r="A946">
        <v>26298</v>
      </c>
      <c r="B946" t="s">
        <v>30</v>
      </c>
      <c r="C946" t="str">
        <f t="shared" si="28"/>
        <v>Married</v>
      </c>
      <c r="D946" t="s">
        <v>29</v>
      </c>
      <c r="E946" t="str">
        <f t="shared" si="29"/>
        <v>Female</v>
      </c>
      <c r="F946" s="2">
        <v>50000</v>
      </c>
      <c r="G946">
        <v>1</v>
      </c>
      <c r="H946" t="s">
        <v>11</v>
      </c>
      <c r="I946" t="s">
        <v>12</v>
      </c>
      <c r="J946" t="s">
        <v>13</v>
      </c>
      <c r="K946">
        <v>0</v>
      </c>
      <c r="L946" t="s">
        <v>19</v>
      </c>
      <c r="M946" t="s">
        <v>28</v>
      </c>
      <c r="N946" s="2">
        <v>34</v>
      </c>
      <c r="O946" t="str" cm="1">
        <f t="array" ref="O946">_xlfn.IFS(
  AND(BikePurchase[[#This Row],[Age]]&gt;=18, BikePurchase[[#This Row],[Age]]&lt;=30), "Adolescent",
  AND(BikePurchase[[#This Row],[Age]]&gt;30, BikePurchase[[#This Row],[Age]]&lt;55), "Middle Aged",
  AND(BikePurchase[[#This Row],[Age]]&gt;=55, BikePurchase[[#This Row],[Age]]&lt;90), "Old",
  TRUE, "Invalid"
)</f>
        <v>Middle Aged</v>
      </c>
      <c r="P946" t="s">
        <v>13</v>
      </c>
      <c r="Q946" t="str">
        <f>IF(BikePurchase[[#This Row],[Purchased BikeX]]="No","Not Purchased","Purchased")</f>
        <v>Purchased</v>
      </c>
    </row>
    <row r="947" spans="1:17" x14ac:dyDescent="0.3">
      <c r="A947">
        <v>25419</v>
      </c>
      <c r="B947" t="s">
        <v>31</v>
      </c>
      <c r="C947" t="str">
        <f t="shared" si="28"/>
        <v>Single</v>
      </c>
      <c r="D947" t="s">
        <v>30</v>
      </c>
      <c r="E947" t="str">
        <f t="shared" si="29"/>
        <v>Male</v>
      </c>
      <c r="F947" s="2">
        <v>50000</v>
      </c>
      <c r="G947">
        <v>2</v>
      </c>
      <c r="H947" t="s">
        <v>11</v>
      </c>
      <c r="I947" t="s">
        <v>12</v>
      </c>
      <c r="J947" t="s">
        <v>15</v>
      </c>
      <c r="K947">
        <v>1</v>
      </c>
      <c r="L947" t="s">
        <v>35</v>
      </c>
      <c r="M947" t="s">
        <v>28</v>
      </c>
      <c r="N947" s="2">
        <v>38</v>
      </c>
      <c r="O947" t="str" cm="1">
        <f t="array" ref="O947">_xlfn.IFS(
  AND(BikePurchase[[#This Row],[Age]]&gt;=18, BikePurchase[[#This Row],[Age]]&lt;=30), "Adolescent",
  AND(BikePurchase[[#This Row],[Age]]&gt;30, BikePurchase[[#This Row],[Age]]&lt;55), "Middle Aged",
  AND(BikePurchase[[#This Row],[Age]]&gt;=55, BikePurchase[[#This Row],[Age]]&lt;90), "Old",
  TRUE, "Invalid"
)</f>
        <v>Middle Aged</v>
      </c>
      <c r="P947" t="s">
        <v>13</v>
      </c>
      <c r="Q947" t="str">
        <f>IF(BikePurchase[[#This Row],[Purchased BikeX]]="No","Not Purchased","Purchased")</f>
        <v>Purchased</v>
      </c>
    </row>
    <row r="948" spans="1:17" x14ac:dyDescent="0.3">
      <c r="A948">
        <v>13343</v>
      </c>
      <c r="B948" t="s">
        <v>30</v>
      </c>
      <c r="C948" t="str">
        <f t="shared" si="28"/>
        <v>Married</v>
      </c>
      <c r="D948" t="s">
        <v>29</v>
      </c>
      <c r="E948" t="str">
        <f t="shared" si="29"/>
        <v>Female</v>
      </c>
      <c r="F948" s="2">
        <v>90000</v>
      </c>
      <c r="G948">
        <v>5</v>
      </c>
      <c r="H948" t="s">
        <v>11</v>
      </c>
      <c r="I948" t="s">
        <v>25</v>
      </c>
      <c r="J948" t="s">
        <v>13</v>
      </c>
      <c r="K948">
        <v>2</v>
      </c>
      <c r="L948" t="s">
        <v>23</v>
      </c>
      <c r="M948" t="s">
        <v>28</v>
      </c>
      <c r="N948" s="2">
        <v>63</v>
      </c>
      <c r="O948" t="str" cm="1">
        <f t="array" ref="O948">_xlfn.IFS(
  AND(BikePurchase[[#This Row],[Age]]&gt;=18, BikePurchase[[#This Row],[Age]]&lt;=30), "Adolescent",
  AND(BikePurchase[[#This Row],[Age]]&gt;30, BikePurchase[[#This Row],[Age]]&lt;55), "Middle Aged",
  AND(BikePurchase[[#This Row],[Age]]&gt;=55, BikePurchase[[#This Row],[Age]]&lt;90), "Old",
  TRUE, "Invalid"
)</f>
        <v>Old</v>
      </c>
      <c r="P948" t="s">
        <v>13</v>
      </c>
      <c r="Q948" t="str">
        <f>IF(BikePurchase[[#This Row],[Purchased BikeX]]="No","Not Purchased","Purchased")</f>
        <v>Purchased</v>
      </c>
    </row>
    <row r="949" spans="1:17" x14ac:dyDescent="0.3">
      <c r="A949">
        <v>11303</v>
      </c>
      <c r="B949" t="s">
        <v>31</v>
      </c>
      <c r="C949" t="str">
        <f t="shared" si="28"/>
        <v>Single</v>
      </c>
      <c r="D949" t="s">
        <v>29</v>
      </c>
      <c r="E949" t="str">
        <f t="shared" si="29"/>
        <v>Female</v>
      </c>
      <c r="F949" s="2">
        <v>90000</v>
      </c>
      <c r="G949">
        <v>4</v>
      </c>
      <c r="H949" t="s">
        <v>24</v>
      </c>
      <c r="I949" t="s">
        <v>18</v>
      </c>
      <c r="J949" t="s">
        <v>15</v>
      </c>
      <c r="K949">
        <v>3</v>
      </c>
      <c r="L949" t="s">
        <v>23</v>
      </c>
      <c r="M949" t="s">
        <v>28</v>
      </c>
      <c r="N949" s="2">
        <v>45</v>
      </c>
      <c r="O949" t="str" cm="1">
        <f t="array" ref="O949">_xlfn.IFS(
  AND(BikePurchase[[#This Row],[Age]]&gt;=18, BikePurchase[[#This Row],[Age]]&lt;=30), "Adolescent",
  AND(BikePurchase[[#This Row],[Age]]&gt;30, BikePurchase[[#This Row],[Age]]&lt;55), "Middle Aged",
  AND(BikePurchase[[#This Row],[Age]]&gt;=55, BikePurchase[[#This Row],[Age]]&lt;90), "Old",
  TRUE, "Invalid"
)</f>
        <v>Middle Aged</v>
      </c>
      <c r="P949" t="s">
        <v>13</v>
      </c>
      <c r="Q949" t="str">
        <f>IF(BikePurchase[[#This Row],[Purchased BikeX]]="No","Not Purchased","Purchased")</f>
        <v>Purchased</v>
      </c>
    </row>
    <row r="950" spans="1:17" x14ac:dyDescent="0.3">
      <c r="A950">
        <v>21693</v>
      </c>
      <c r="B950" t="s">
        <v>31</v>
      </c>
      <c r="C950" t="str">
        <f t="shared" si="28"/>
        <v>Single</v>
      </c>
      <c r="D950" t="s">
        <v>29</v>
      </c>
      <c r="E950" t="str">
        <f t="shared" si="29"/>
        <v>Female</v>
      </c>
      <c r="F950" s="2">
        <v>60000</v>
      </c>
      <c r="G950">
        <v>0</v>
      </c>
      <c r="H950" t="s">
        <v>27</v>
      </c>
      <c r="I950" t="s">
        <v>12</v>
      </c>
      <c r="J950" t="s">
        <v>15</v>
      </c>
      <c r="K950">
        <v>0</v>
      </c>
      <c r="L950" t="s">
        <v>35</v>
      </c>
      <c r="M950" t="s">
        <v>28</v>
      </c>
      <c r="N950" s="2">
        <v>40</v>
      </c>
      <c r="O950" t="str" cm="1">
        <f t="array" ref="O950">_xlfn.IFS(
  AND(BikePurchase[[#This Row],[Age]]&gt;=18, BikePurchase[[#This Row],[Age]]&lt;=30), "Adolescent",
  AND(BikePurchase[[#This Row],[Age]]&gt;30, BikePurchase[[#This Row],[Age]]&lt;55), "Middle Aged",
  AND(BikePurchase[[#This Row],[Age]]&gt;=55, BikePurchase[[#This Row],[Age]]&lt;90), "Old",
  TRUE, "Invalid"
)</f>
        <v>Middle Aged</v>
      </c>
      <c r="P950" t="s">
        <v>15</v>
      </c>
      <c r="Q950" t="str">
        <f>IF(BikePurchase[[#This Row],[Purchased BikeX]]="No","Not Purchased","Purchased")</f>
        <v>Not Purchased</v>
      </c>
    </row>
    <row r="951" spans="1:17" x14ac:dyDescent="0.3">
      <c r="A951">
        <v>28056</v>
      </c>
      <c r="B951" t="s">
        <v>30</v>
      </c>
      <c r="C951" t="str">
        <f t="shared" si="28"/>
        <v>Married</v>
      </c>
      <c r="D951" t="s">
        <v>30</v>
      </c>
      <c r="E951" t="str">
        <f t="shared" si="29"/>
        <v>Male</v>
      </c>
      <c r="F951" s="2">
        <v>70000</v>
      </c>
      <c r="G951">
        <v>2</v>
      </c>
      <c r="H951" t="s">
        <v>26</v>
      </c>
      <c r="I951" t="s">
        <v>12</v>
      </c>
      <c r="J951" t="s">
        <v>13</v>
      </c>
      <c r="K951">
        <v>2</v>
      </c>
      <c r="L951" t="s">
        <v>48</v>
      </c>
      <c r="M951" t="s">
        <v>28</v>
      </c>
      <c r="N951" s="2">
        <v>53</v>
      </c>
      <c r="O951" t="str" cm="1">
        <f t="array" ref="O951">_xlfn.IFS(
  AND(BikePurchase[[#This Row],[Age]]&gt;=18, BikePurchase[[#This Row],[Age]]&lt;=30), "Adolescent",
  AND(BikePurchase[[#This Row],[Age]]&gt;30, BikePurchase[[#This Row],[Age]]&lt;55), "Middle Aged",
  AND(BikePurchase[[#This Row],[Age]]&gt;=55, BikePurchase[[#This Row],[Age]]&lt;90), "Old",
  TRUE, "Invalid"
)</f>
        <v>Middle Aged</v>
      </c>
      <c r="P951" t="s">
        <v>15</v>
      </c>
      <c r="Q951" t="str">
        <f>IF(BikePurchase[[#This Row],[Purchased BikeX]]="No","Not Purchased","Purchased")</f>
        <v>Not Purchased</v>
      </c>
    </row>
    <row r="952" spans="1:17" x14ac:dyDescent="0.3">
      <c r="A952">
        <v>11788</v>
      </c>
      <c r="B952" t="s">
        <v>31</v>
      </c>
      <c r="C952" t="str">
        <f t="shared" si="28"/>
        <v>Single</v>
      </c>
      <c r="D952" t="s">
        <v>29</v>
      </c>
      <c r="E952" t="str">
        <f t="shared" si="29"/>
        <v>Female</v>
      </c>
      <c r="F952" s="2">
        <v>70000</v>
      </c>
      <c r="G952">
        <v>1</v>
      </c>
      <c r="H952" t="s">
        <v>27</v>
      </c>
      <c r="I952" t="s">
        <v>18</v>
      </c>
      <c r="J952" t="s">
        <v>13</v>
      </c>
      <c r="K952">
        <v>0</v>
      </c>
      <c r="L952" t="s">
        <v>19</v>
      </c>
      <c r="M952" t="s">
        <v>28</v>
      </c>
      <c r="N952" s="2">
        <v>34</v>
      </c>
      <c r="O952" t="str" cm="1">
        <f t="array" ref="O952">_xlfn.IFS(
  AND(BikePurchase[[#This Row],[Age]]&gt;=18, BikePurchase[[#This Row],[Age]]&lt;=30), "Adolescent",
  AND(BikePurchase[[#This Row],[Age]]&gt;30, BikePurchase[[#This Row],[Age]]&lt;55), "Middle Aged",
  AND(BikePurchase[[#This Row],[Age]]&gt;=55, BikePurchase[[#This Row],[Age]]&lt;90), "Old",
  TRUE, "Invalid"
)</f>
        <v>Middle Aged</v>
      </c>
      <c r="P952" t="s">
        <v>15</v>
      </c>
      <c r="Q952" t="str">
        <f>IF(BikePurchase[[#This Row],[Purchased BikeX]]="No","Not Purchased","Purchased")</f>
        <v>Not Purchased</v>
      </c>
    </row>
    <row r="953" spans="1:17" x14ac:dyDescent="0.3">
      <c r="A953">
        <v>22296</v>
      </c>
      <c r="B953" t="s">
        <v>30</v>
      </c>
      <c r="C953" t="str">
        <f t="shared" si="28"/>
        <v>Married</v>
      </c>
      <c r="D953" t="s">
        <v>30</v>
      </c>
      <c r="E953" t="str">
        <f t="shared" si="29"/>
        <v>Male</v>
      </c>
      <c r="F953" s="2">
        <v>70000</v>
      </c>
      <c r="G953">
        <v>0</v>
      </c>
      <c r="H953" t="s">
        <v>11</v>
      </c>
      <c r="I953" t="s">
        <v>18</v>
      </c>
      <c r="J953" t="s">
        <v>15</v>
      </c>
      <c r="K953">
        <v>1</v>
      </c>
      <c r="L953" t="s">
        <v>35</v>
      </c>
      <c r="M953" t="s">
        <v>28</v>
      </c>
      <c r="N953" s="2">
        <v>38</v>
      </c>
      <c r="O953" t="str" cm="1">
        <f t="array" ref="O953">_xlfn.IFS(
  AND(BikePurchase[[#This Row],[Age]]&gt;=18, BikePurchase[[#This Row],[Age]]&lt;=30), "Adolescent",
  AND(BikePurchase[[#This Row],[Age]]&gt;30, BikePurchase[[#This Row],[Age]]&lt;55), "Middle Aged",
  AND(BikePurchase[[#This Row],[Age]]&gt;=55, BikePurchase[[#This Row],[Age]]&lt;90), "Old",
  TRUE, "Invalid"
)</f>
        <v>Middle Aged</v>
      </c>
      <c r="P953" t="s">
        <v>15</v>
      </c>
      <c r="Q953" t="str">
        <f>IF(BikePurchase[[#This Row],[Purchased BikeX]]="No","Not Purchased","Purchased")</f>
        <v>Not Purchased</v>
      </c>
    </row>
    <row r="954" spans="1:17" x14ac:dyDescent="0.3">
      <c r="A954">
        <v>15319</v>
      </c>
      <c r="B954" t="s">
        <v>30</v>
      </c>
      <c r="C954" t="str">
        <f t="shared" si="28"/>
        <v>Married</v>
      </c>
      <c r="D954" t="s">
        <v>29</v>
      </c>
      <c r="E954" t="str">
        <f t="shared" si="29"/>
        <v>Female</v>
      </c>
      <c r="F954" s="2">
        <v>70000</v>
      </c>
      <c r="G954">
        <v>4</v>
      </c>
      <c r="H954" t="s">
        <v>11</v>
      </c>
      <c r="I954" t="s">
        <v>25</v>
      </c>
      <c r="J954" t="s">
        <v>15</v>
      </c>
      <c r="K954">
        <v>1</v>
      </c>
      <c r="L954" t="s">
        <v>23</v>
      </c>
      <c r="M954" t="s">
        <v>28</v>
      </c>
      <c r="N954" s="2">
        <v>59</v>
      </c>
      <c r="O954" t="str" cm="1">
        <f t="array" ref="O954">_xlfn.IFS(
  AND(BikePurchase[[#This Row],[Age]]&gt;=18, BikePurchase[[#This Row],[Age]]&lt;=30), "Adolescent",
  AND(BikePurchase[[#This Row],[Age]]&gt;30, BikePurchase[[#This Row],[Age]]&lt;55), "Middle Aged",
  AND(BikePurchase[[#This Row],[Age]]&gt;=55, BikePurchase[[#This Row],[Age]]&lt;90), "Old",
  TRUE, "Invalid"
)</f>
        <v>Old</v>
      </c>
      <c r="P954" t="s">
        <v>15</v>
      </c>
      <c r="Q954" t="str">
        <f>IF(BikePurchase[[#This Row],[Purchased BikeX]]="No","Not Purchased","Purchased")</f>
        <v>Not Purchased</v>
      </c>
    </row>
    <row r="955" spans="1:17" x14ac:dyDescent="0.3">
      <c r="A955">
        <v>17654</v>
      </c>
      <c r="B955" t="s">
        <v>31</v>
      </c>
      <c r="C955" t="str">
        <f t="shared" si="28"/>
        <v>Single</v>
      </c>
      <c r="D955" t="s">
        <v>29</v>
      </c>
      <c r="E955" t="str">
        <f t="shared" si="29"/>
        <v>Female</v>
      </c>
      <c r="F955" s="2">
        <v>40000</v>
      </c>
      <c r="G955">
        <v>3</v>
      </c>
      <c r="H955" t="s">
        <v>16</v>
      </c>
      <c r="I955" t="s">
        <v>17</v>
      </c>
      <c r="J955" t="s">
        <v>13</v>
      </c>
      <c r="K955">
        <v>1</v>
      </c>
      <c r="L955" t="s">
        <v>23</v>
      </c>
      <c r="M955" t="s">
        <v>28</v>
      </c>
      <c r="N955" s="2">
        <v>30</v>
      </c>
      <c r="O955" t="str" cm="1">
        <f t="array" ref="O955">_xlfn.IFS(
  AND(BikePurchase[[#This Row],[Age]]&gt;=18, BikePurchase[[#This Row],[Age]]&lt;=30), "Adolescent",
  AND(BikePurchase[[#This Row],[Age]]&gt;30, BikePurchase[[#This Row],[Age]]&lt;55), "Middle Aged",
  AND(BikePurchase[[#This Row],[Age]]&gt;=55, BikePurchase[[#This Row],[Age]]&lt;90), "Old",
  TRUE, "Invalid"
)</f>
        <v>Adolescent</v>
      </c>
      <c r="P955" t="s">
        <v>13</v>
      </c>
      <c r="Q955" t="str">
        <f>IF(BikePurchase[[#This Row],[Purchased BikeX]]="No","Not Purchased","Purchased")</f>
        <v>Purchased</v>
      </c>
    </row>
    <row r="956" spans="1:17" x14ac:dyDescent="0.3">
      <c r="A956">
        <v>14662</v>
      </c>
      <c r="B956" t="s">
        <v>30</v>
      </c>
      <c r="C956" t="str">
        <f t="shared" si="28"/>
        <v>Married</v>
      </c>
      <c r="D956" t="s">
        <v>30</v>
      </c>
      <c r="E956" t="str">
        <f t="shared" si="29"/>
        <v>Male</v>
      </c>
      <c r="F956" s="2">
        <v>60000</v>
      </c>
      <c r="G956">
        <v>1</v>
      </c>
      <c r="H956" t="s">
        <v>11</v>
      </c>
      <c r="I956" t="s">
        <v>18</v>
      </c>
      <c r="J956" t="s">
        <v>13</v>
      </c>
      <c r="K956">
        <v>1</v>
      </c>
      <c r="L956" t="s">
        <v>35</v>
      </c>
      <c r="M956" t="s">
        <v>28</v>
      </c>
      <c r="N956" s="2">
        <v>48</v>
      </c>
      <c r="O956" t="str" cm="1">
        <f t="array" ref="O956">_xlfn.IFS(
  AND(BikePurchase[[#This Row],[Age]]&gt;=18, BikePurchase[[#This Row],[Age]]&lt;=30), "Adolescent",
  AND(BikePurchase[[#This Row],[Age]]&gt;30, BikePurchase[[#This Row],[Age]]&lt;55), "Middle Aged",
  AND(BikePurchase[[#This Row],[Age]]&gt;=55, BikePurchase[[#This Row],[Age]]&lt;90), "Old",
  TRUE, "Invalid"
)</f>
        <v>Middle Aged</v>
      </c>
      <c r="P956" t="s">
        <v>13</v>
      </c>
      <c r="Q956" t="str">
        <f>IF(BikePurchase[[#This Row],[Purchased BikeX]]="No","Not Purchased","Purchased")</f>
        <v>Purchased</v>
      </c>
    </row>
    <row r="957" spans="1:17" x14ac:dyDescent="0.3">
      <c r="A957">
        <v>17541</v>
      </c>
      <c r="B957" t="s">
        <v>30</v>
      </c>
      <c r="C957" t="str">
        <f t="shared" si="28"/>
        <v>Married</v>
      </c>
      <c r="D957" t="s">
        <v>29</v>
      </c>
      <c r="E957" t="str">
        <f t="shared" si="29"/>
        <v>Female</v>
      </c>
      <c r="F957" s="2">
        <v>40000</v>
      </c>
      <c r="G957">
        <v>4</v>
      </c>
      <c r="H957" t="s">
        <v>24</v>
      </c>
      <c r="I957" t="s">
        <v>12</v>
      </c>
      <c r="J957" t="s">
        <v>13</v>
      </c>
      <c r="K957">
        <v>2</v>
      </c>
      <c r="L957" t="s">
        <v>19</v>
      </c>
      <c r="M957" t="s">
        <v>28</v>
      </c>
      <c r="N957" s="2">
        <v>43</v>
      </c>
      <c r="O957" t="str" cm="1">
        <f t="array" ref="O957">_xlfn.IFS(
  AND(BikePurchase[[#This Row],[Age]]&gt;=18, BikePurchase[[#This Row],[Age]]&lt;=30), "Adolescent",
  AND(BikePurchase[[#This Row],[Age]]&gt;30, BikePurchase[[#This Row],[Age]]&lt;55), "Middle Aged",
  AND(BikePurchase[[#This Row],[Age]]&gt;=55, BikePurchase[[#This Row],[Age]]&lt;90), "Old",
  TRUE, "Invalid"
)</f>
        <v>Middle Aged</v>
      </c>
      <c r="P957" t="s">
        <v>15</v>
      </c>
      <c r="Q957" t="str">
        <f>IF(BikePurchase[[#This Row],[Purchased BikeX]]="No","Not Purchased","Purchased")</f>
        <v>Not Purchased</v>
      </c>
    </row>
    <row r="958" spans="1:17" x14ac:dyDescent="0.3">
      <c r="A958">
        <v>13886</v>
      </c>
      <c r="B958" t="s">
        <v>30</v>
      </c>
      <c r="C958" t="str">
        <f t="shared" si="28"/>
        <v>Married</v>
      </c>
      <c r="D958" t="s">
        <v>29</v>
      </c>
      <c r="E958" t="str">
        <f t="shared" si="29"/>
        <v>Female</v>
      </c>
      <c r="F958" s="2">
        <v>70000</v>
      </c>
      <c r="G958">
        <v>4</v>
      </c>
      <c r="H958" t="s">
        <v>27</v>
      </c>
      <c r="I958" t="s">
        <v>18</v>
      </c>
      <c r="J958" t="s">
        <v>13</v>
      </c>
      <c r="K958">
        <v>0</v>
      </c>
      <c r="L958" t="s">
        <v>19</v>
      </c>
      <c r="M958" t="s">
        <v>28</v>
      </c>
      <c r="N958" s="2">
        <v>35</v>
      </c>
      <c r="O958" t="str" cm="1">
        <f t="array" ref="O958">_xlfn.IFS(
  AND(BikePurchase[[#This Row],[Age]]&gt;=18, BikePurchase[[#This Row],[Age]]&lt;=30), "Adolescent",
  AND(BikePurchase[[#This Row],[Age]]&gt;30, BikePurchase[[#This Row],[Age]]&lt;55), "Middle Aged",
  AND(BikePurchase[[#This Row],[Age]]&gt;=55, BikePurchase[[#This Row],[Age]]&lt;90), "Old",
  TRUE, "Invalid"
)</f>
        <v>Middle Aged</v>
      </c>
      <c r="P958" t="s">
        <v>13</v>
      </c>
      <c r="Q958" t="str">
        <f>IF(BikePurchase[[#This Row],[Purchased BikeX]]="No","Not Purchased","Purchased")</f>
        <v>Purchased</v>
      </c>
    </row>
    <row r="959" spans="1:17" x14ac:dyDescent="0.3">
      <c r="A959">
        <v>13073</v>
      </c>
      <c r="B959" t="s">
        <v>30</v>
      </c>
      <c r="C959" t="str">
        <f t="shared" si="28"/>
        <v>Married</v>
      </c>
      <c r="D959" t="s">
        <v>29</v>
      </c>
      <c r="E959" t="str">
        <f t="shared" si="29"/>
        <v>Female</v>
      </c>
      <c r="F959" s="2">
        <v>60000</v>
      </c>
      <c r="G959">
        <v>0</v>
      </c>
      <c r="H959" t="s">
        <v>16</v>
      </c>
      <c r="I959" t="s">
        <v>18</v>
      </c>
      <c r="J959" t="s">
        <v>13</v>
      </c>
      <c r="K959">
        <v>2</v>
      </c>
      <c r="L959" t="s">
        <v>20</v>
      </c>
      <c r="M959" t="s">
        <v>28</v>
      </c>
      <c r="N959" s="2">
        <v>30</v>
      </c>
      <c r="O959" t="str" cm="1">
        <f t="array" ref="O959">_xlfn.IFS(
  AND(BikePurchase[[#This Row],[Age]]&gt;=18, BikePurchase[[#This Row],[Age]]&lt;=30), "Adolescent",
  AND(BikePurchase[[#This Row],[Age]]&gt;30, BikePurchase[[#This Row],[Age]]&lt;55), "Middle Aged",
  AND(BikePurchase[[#This Row],[Age]]&gt;=55, BikePurchase[[#This Row],[Age]]&lt;90), "Old",
  TRUE, "Invalid"
)</f>
        <v>Adolescent</v>
      </c>
      <c r="P959" t="s">
        <v>15</v>
      </c>
      <c r="Q959" t="str">
        <f>IF(BikePurchase[[#This Row],[Purchased BikeX]]="No","Not Purchased","Purchased")</f>
        <v>Not Purchased</v>
      </c>
    </row>
    <row r="960" spans="1:17" x14ac:dyDescent="0.3">
      <c r="A960">
        <v>21940</v>
      </c>
      <c r="B960" t="s">
        <v>30</v>
      </c>
      <c r="C960" t="str">
        <f t="shared" si="28"/>
        <v>Married</v>
      </c>
      <c r="D960" t="s">
        <v>30</v>
      </c>
      <c r="E960" t="str">
        <f t="shared" si="29"/>
        <v>Male</v>
      </c>
      <c r="F960" s="2">
        <v>90000</v>
      </c>
      <c r="G960">
        <v>5</v>
      </c>
      <c r="H960" t="s">
        <v>27</v>
      </c>
      <c r="I960" t="s">
        <v>18</v>
      </c>
      <c r="J960" t="s">
        <v>13</v>
      </c>
      <c r="K960">
        <v>0</v>
      </c>
      <c r="L960" t="s">
        <v>35</v>
      </c>
      <c r="M960" t="s">
        <v>28</v>
      </c>
      <c r="N960" s="2">
        <v>47</v>
      </c>
      <c r="O960" t="str" cm="1">
        <f t="array" ref="O960">_xlfn.IFS(
  AND(BikePurchase[[#This Row],[Age]]&gt;=18, BikePurchase[[#This Row],[Age]]&lt;=30), "Adolescent",
  AND(BikePurchase[[#This Row],[Age]]&gt;30, BikePurchase[[#This Row],[Age]]&lt;55), "Middle Aged",
  AND(BikePurchase[[#This Row],[Age]]&gt;=55, BikePurchase[[#This Row],[Age]]&lt;90), "Old",
  TRUE, "Invalid"
)</f>
        <v>Middle Aged</v>
      </c>
      <c r="P960" t="s">
        <v>13</v>
      </c>
      <c r="Q960" t="str">
        <f>IF(BikePurchase[[#This Row],[Purchased BikeX]]="No","Not Purchased","Purchased")</f>
        <v>Purchased</v>
      </c>
    </row>
    <row r="961" spans="1:17" x14ac:dyDescent="0.3">
      <c r="A961">
        <v>20196</v>
      </c>
      <c r="B961" t="s">
        <v>30</v>
      </c>
      <c r="C961" t="str">
        <f t="shared" si="28"/>
        <v>Married</v>
      </c>
      <c r="D961" t="s">
        <v>30</v>
      </c>
      <c r="E961" t="str">
        <f t="shared" si="29"/>
        <v>Male</v>
      </c>
      <c r="F961" s="2">
        <v>60000</v>
      </c>
      <c r="G961">
        <v>1</v>
      </c>
      <c r="H961" t="s">
        <v>16</v>
      </c>
      <c r="I961" t="s">
        <v>12</v>
      </c>
      <c r="J961" t="s">
        <v>13</v>
      </c>
      <c r="K961">
        <v>1</v>
      </c>
      <c r="L961" t="s">
        <v>19</v>
      </c>
      <c r="M961" t="s">
        <v>28</v>
      </c>
      <c r="N961" s="2">
        <v>45</v>
      </c>
      <c r="O961" t="str" cm="1">
        <f t="array" ref="O961">_xlfn.IFS(
  AND(BikePurchase[[#This Row],[Age]]&gt;=18, BikePurchase[[#This Row],[Age]]&lt;=30), "Adolescent",
  AND(BikePurchase[[#This Row],[Age]]&gt;30, BikePurchase[[#This Row],[Age]]&lt;55), "Middle Aged",
  AND(BikePurchase[[#This Row],[Age]]&gt;=55, BikePurchase[[#This Row],[Age]]&lt;90), "Old",
  TRUE, "Invalid"
)</f>
        <v>Middle Aged</v>
      </c>
      <c r="P961" t="s">
        <v>13</v>
      </c>
      <c r="Q961" t="str">
        <f>IF(BikePurchase[[#This Row],[Purchased BikeX]]="No","Not Purchased","Purchased")</f>
        <v>Purchased</v>
      </c>
    </row>
    <row r="962" spans="1:17" x14ac:dyDescent="0.3">
      <c r="A962">
        <v>23491</v>
      </c>
      <c r="B962" t="s">
        <v>31</v>
      </c>
      <c r="C962" t="str">
        <f t="shared" ref="C962:C1001" si="30">IF(B962="M","Married","Single")</f>
        <v>Single</v>
      </c>
      <c r="D962" t="s">
        <v>30</v>
      </c>
      <c r="E962" t="str">
        <f t="shared" ref="E962:E1001" si="31">IF(D962="F","Female","Male")</f>
        <v>Male</v>
      </c>
      <c r="F962" s="2">
        <v>100000</v>
      </c>
      <c r="G962">
        <v>0</v>
      </c>
      <c r="H962" t="s">
        <v>16</v>
      </c>
      <c r="I962" t="s">
        <v>18</v>
      </c>
      <c r="J962" t="s">
        <v>15</v>
      </c>
      <c r="K962">
        <v>4</v>
      </c>
      <c r="L962" t="s">
        <v>23</v>
      </c>
      <c r="M962" t="s">
        <v>28</v>
      </c>
      <c r="N962" s="2">
        <v>45</v>
      </c>
      <c r="O962" t="str" cm="1">
        <f t="array" ref="O962">_xlfn.IFS(
  AND(BikePurchase[[#This Row],[Age]]&gt;=18, BikePurchase[[#This Row],[Age]]&lt;=30), "Adolescent",
  AND(BikePurchase[[#This Row],[Age]]&gt;30, BikePurchase[[#This Row],[Age]]&lt;55), "Middle Aged",
  AND(BikePurchase[[#This Row],[Age]]&gt;=55, BikePurchase[[#This Row],[Age]]&lt;90), "Old",
  TRUE, "Invalid"
)</f>
        <v>Middle Aged</v>
      </c>
      <c r="P962" t="s">
        <v>15</v>
      </c>
      <c r="Q962" t="str">
        <f>IF(BikePurchase[[#This Row],[Purchased BikeX]]="No","Not Purchased","Purchased")</f>
        <v>Not Purchased</v>
      </c>
    </row>
    <row r="963" spans="1:17" x14ac:dyDescent="0.3">
      <c r="A963">
        <v>16651</v>
      </c>
      <c r="B963" t="s">
        <v>30</v>
      </c>
      <c r="C963" t="str">
        <f t="shared" si="30"/>
        <v>Married</v>
      </c>
      <c r="D963" t="s">
        <v>29</v>
      </c>
      <c r="E963" t="str">
        <f t="shared" si="31"/>
        <v>Female</v>
      </c>
      <c r="F963" s="2">
        <v>120000</v>
      </c>
      <c r="G963">
        <v>2</v>
      </c>
      <c r="H963" t="s">
        <v>11</v>
      </c>
      <c r="I963" t="s">
        <v>25</v>
      </c>
      <c r="J963" t="s">
        <v>13</v>
      </c>
      <c r="K963">
        <v>3</v>
      </c>
      <c r="L963" t="s">
        <v>20</v>
      </c>
      <c r="M963" t="s">
        <v>28</v>
      </c>
      <c r="N963" s="2">
        <v>62</v>
      </c>
      <c r="O963" t="str" cm="1">
        <f t="array" ref="O963">_xlfn.IFS(
  AND(BikePurchase[[#This Row],[Age]]&gt;=18, BikePurchase[[#This Row],[Age]]&lt;=30), "Adolescent",
  AND(BikePurchase[[#This Row],[Age]]&gt;30, BikePurchase[[#This Row],[Age]]&lt;55), "Middle Aged",
  AND(BikePurchase[[#This Row],[Age]]&gt;=55, BikePurchase[[#This Row],[Age]]&lt;90), "Old",
  TRUE, "Invalid"
)</f>
        <v>Old</v>
      </c>
      <c r="P963" t="s">
        <v>15</v>
      </c>
      <c r="Q963" t="str">
        <f>IF(BikePurchase[[#This Row],[Purchased BikeX]]="No","Not Purchased","Purchased")</f>
        <v>Not Purchased</v>
      </c>
    </row>
    <row r="964" spans="1:17" x14ac:dyDescent="0.3">
      <c r="A964">
        <v>16813</v>
      </c>
      <c r="B964" t="s">
        <v>30</v>
      </c>
      <c r="C964" t="str">
        <f t="shared" si="30"/>
        <v>Married</v>
      </c>
      <c r="D964" t="s">
        <v>30</v>
      </c>
      <c r="E964" t="str">
        <f t="shared" si="31"/>
        <v>Male</v>
      </c>
      <c r="F964" s="2">
        <v>60000</v>
      </c>
      <c r="G964">
        <v>2</v>
      </c>
      <c r="H964" t="s">
        <v>16</v>
      </c>
      <c r="I964" t="s">
        <v>18</v>
      </c>
      <c r="J964" t="s">
        <v>13</v>
      </c>
      <c r="K964">
        <v>2</v>
      </c>
      <c r="L964" t="s">
        <v>48</v>
      </c>
      <c r="M964" t="s">
        <v>28</v>
      </c>
      <c r="N964" s="2">
        <v>55</v>
      </c>
      <c r="O964" t="str" cm="1">
        <f t="array" ref="O964">_xlfn.IFS(
  AND(BikePurchase[[#This Row],[Age]]&gt;=18, BikePurchase[[#This Row],[Age]]&lt;=30), "Adolescent",
  AND(BikePurchase[[#This Row],[Age]]&gt;30, BikePurchase[[#This Row],[Age]]&lt;55), "Middle Aged",
  AND(BikePurchase[[#This Row],[Age]]&gt;=55, BikePurchase[[#This Row],[Age]]&lt;90), "Old",
  TRUE, "Invalid"
)</f>
        <v>Old</v>
      </c>
      <c r="P964" t="s">
        <v>15</v>
      </c>
      <c r="Q964" t="str">
        <f>IF(BikePurchase[[#This Row],[Purchased BikeX]]="No","Not Purchased","Purchased")</f>
        <v>Not Purchased</v>
      </c>
    </row>
    <row r="965" spans="1:17" x14ac:dyDescent="0.3">
      <c r="A965">
        <v>16007</v>
      </c>
      <c r="B965" t="s">
        <v>30</v>
      </c>
      <c r="C965" t="str">
        <f t="shared" si="30"/>
        <v>Married</v>
      </c>
      <c r="D965" t="s">
        <v>29</v>
      </c>
      <c r="E965" t="str">
        <f t="shared" si="31"/>
        <v>Female</v>
      </c>
      <c r="F965" s="2">
        <v>90000</v>
      </c>
      <c r="G965">
        <v>5</v>
      </c>
      <c r="H965" t="s">
        <v>11</v>
      </c>
      <c r="I965" t="s">
        <v>25</v>
      </c>
      <c r="J965" t="s">
        <v>13</v>
      </c>
      <c r="K965">
        <v>2</v>
      </c>
      <c r="L965" t="s">
        <v>23</v>
      </c>
      <c r="M965" t="s">
        <v>28</v>
      </c>
      <c r="N965" s="2">
        <v>66</v>
      </c>
      <c r="O965" t="str" cm="1">
        <f t="array" ref="O965">_xlfn.IFS(
  AND(BikePurchase[[#This Row],[Age]]&gt;=18, BikePurchase[[#This Row],[Age]]&lt;=30), "Adolescent",
  AND(BikePurchase[[#This Row],[Age]]&gt;30, BikePurchase[[#This Row],[Age]]&lt;55), "Middle Aged",
  AND(BikePurchase[[#This Row],[Age]]&gt;=55, BikePurchase[[#This Row],[Age]]&lt;90), "Old",
  TRUE, "Invalid"
)</f>
        <v>Old</v>
      </c>
      <c r="P965" t="s">
        <v>13</v>
      </c>
      <c r="Q965" t="str">
        <f>IF(BikePurchase[[#This Row],[Purchased BikeX]]="No","Not Purchased","Purchased")</f>
        <v>Purchased</v>
      </c>
    </row>
    <row r="966" spans="1:17" x14ac:dyDescent="0.3">
      <c r="A966">
        <v>27434</v>
      </c>
      <c r="B966" t="s">
        <v>31</v>
      </c>
      <c r="C966" t="str">
        <f t="shared" si="30"/>
        <v>Single</v>
      </c>
      <c r="D966" t="s">
        <v>30</v>
      </c>
      <c r="E966" t="str">
        <f t="shared" si="31"/>
        <v>Male</v>
      </c>
      <c r="F966" s="2">
        <v>70000</v>
      </c>
      <c r="G966">
        <v>4</v>
      </c>
      <c r="H966" t="s">
        <v>16</v>
      </c>
      <c r="I966" t="s">
        <v>18</v>
      </c>
      <c r="J966" t="s">
        <v>13</v>
      </c>
      <c r="K966">
        <v>1</v>
      </c>
      <c r="L966" t="s">
        <v>48</v>
      </c>
      <c r="M966" t="s">
        <v>28</v>
      </c>
      <c r="N966" s="2">
        <v>56</v>
      </c>
      <c r="O966" t="str" cm="1">
        <f t="array" ref="O966">_xlfn.IFS(
  AND(BikePurchase[[#This Row],[Age]]&gt;=18, BikePurchase[[#This Row],[Age]]&lt;=30), "Adolescent",
  AND(BikePurchase[[#This Row],[Age]]&gt;30, BikePurchase[[#This Row],[Age]]&lt;55), "Middle Aged",
  AND(BikePurchase[[#This Row],[Age]]&gt;=55, BikePurchase[[#This Row],[Age]]&lt;90), "Old",
  TRUE, "Invalid"
)</f>
        <v>Old</v>
      </c>
      <c r="P966" t="s">
        <v>15</v>
      </c>
      <c r="Q966" t="str">
        <f>IF(BikePurchase[[#This Row],[Purchased BikeX]]="No","Not Purchased","Purchased")</f>
        <v>Not Purchased</v>
      </c>
    </row>
    <row r="967" spans="1:17" x14ac:dyDescent="0.3">
      <c r="A967">
        <v>27756</v>
      </c>
      <c r="B967" t="s">
        <v>31</v>
      </c>
      <c r="C967" t="str">
        <f t="shared" si="30"/>
        <v>Single</v>
      </c>
      <c r="D967" t="s">
        <v>29</v>
      </c>
      <c r="E967" t="str">
        <f t="shared" si="31"/>
        <v>Female</v>
      </c>
      <c r="F967" s="2">
        <v>50000</v>
      </c>
      <c r="G967">
        <v>3</v>
      </c>
      <c r="H967" t="s">
        <v>11</v>
      </c>
      <c r="I967" t="s">
        <v>12</v>
      </c>
      <c r="J967" t="s">
        <v>15</v>
      </c>
      <c r="K967">
        <v>1</v>
      </c>
      <c r="L967" t="s">
        <v>35</v>
      </c>
      <c r="M967" t="s">
        <v>28</v>
      </c>
      <c r="N967" s="2">
        <v>40</v>
      </c>
      <c r="O967" t="str" cm="1">
        <f t="array" ref="O967">_xlfn.IFS(
  AND(BikePurchase[[#This Row],[Age]]&gt;=18, BikePurchase[[#This Row],[Age]]&lt;=30), "Adolescent",
  AND(BikePurchase[[#This Row],[Age]]&gt;30, BikePurchase[[#This Row],[Age]]&lt;55), "Middle Aged",
  AND(BikePurchase[[#This Row],[Age]]&gt;=55, BikePurchase[[#This Row],[Age]]&lt;90), "Old",
  TRUE, "Invalid"
)</f>
        <v>Middle Aged</v>
      </c>
      <c r="P967" t="s">
        <v>15</v>
      </c>
      <c r="Q967" t="str">
        <f>IF(BikePurchase[[#This Row],[Purchased BikeX]]="No","Not Purchased","Purchased")</f>
        <v>Not Purchased</v>
      </c>
    </row>
    <row r="968" spans="1:17" x14ac:dyDescent="0.3">
      <c r="A968">
        <v>23818</v>
      </c>
      <c r="B968" t="s">
        <v>30</v>
      </c>
      <c r="C968" t="str">
        <f t="shared" si="30"/>
        <v>Married</v>
      </c>
      <c r="D968" t="s">
        <v>29</v>
      </c>
      <c r="E968" t="str">
        <f t="shared" si="31"/>
        <v>Female</v>
      </c>
      <c r="F968" s="2">
        <v>50000</v>
      </c>
      <c r="G968">
        <v>0</v>
      </c>
      <c r="H968" t="s">
        <v>27</v>
      </c>
      <c r="I968" t="s">
        <v>12</v>
      </c>
      <c r="J968" t="s">
        <v>13</v>
      </c>
      <c r="K968">
        <v>0</v>
      </c>
      <c r="L968" t="s">
        <v>23</v>
      </c>
      <c r="M968" t="s">
        <v>28</v>
      </c>
      <c r="N968" s="2">
        <v>33</v>
      </c>
      <c r="O968" t="str" cm="1">
        <f t="array" ref="O968">_xlfn.IFS(
  AND(BikePurchase[[#This Row],[Age]]&gt;=18, BikePurchase[[#This Row],[Age]]&lt;=30), "Adolescent",
  AND(BikePurchase[[#This Row],[Age]]&gt;30, BikePurchase[[#This Row],[Age]]&lt;55), "Middle Aged",
  AND(BikePurchase[[#This Row],[Age]]&gt;=55, BikePurchase[[#This Row],[Age]]&lt;90), "Old",
  TRUE, "Invalid"
)</f>
        <v>Middle Aged</v>
      </c>
      <c r="P968" t="s">
        <v>13</v>
      </c>
      <c r="Q968" t="str">
        <f>IF(BikePurchase[[#This Row],[Purchased BikeX]]="No","Not Purchased","Purchased")</f>
        <v>Purchased</v>
      </c>
    </row>
    <row r="969" spans="1:17" x14ac:dyDescent="0.3">
      <c r="A969">
        <v>19012</v>
      </c>
      <c r="B969" t="s">
        <v>30</v>
      </c>
      <c r="C969" t="str">
        <f t="shared" si="30"/>
        <v>Married</v>
      </c>
      <c r="D969" t="s">
        <v>30</v>
      </c>
      <c r="E969" t="str">
        <f t="shared" si="31"/>
        <v>Male</v>
      </c>
      <c r="F969" s="2">
        <v>80000</v>
      </c>
      <c r="G969">
        <v>3</v>
      </c>
      <c r="H969" t="s">
        <v>11</v>
      </c>
      <c r="I969" t="s">
        <v>25</v>
      </c>
      <c r="J969" t="s">
        <v>13</v>
      </c>
      <c r="K969">
        <v>1</v>
      </c>
      <c r="L969" t="s">
        <v>23</v>
      </c>
      <c r="M969" t="s">
        <v>28</v>
      </c>
      <c r="N969" s="2">
        <v>56</v>
      </c>
      <c r="O969" t="str" cm="1">
        <f t="array" ref="O969">_xlfn.IFS(
  AND(BikePurchase[[#This Row],[Age]]&gt;=18, BikePurchase[[#This Row],[Age]]&lt;=30), "Adolescent",
  AND(BikePurchase[[#This Row],[Age]]&gt;30, BikePurchase[[#This Row],[Age]]&lt;55), "Middle Aged",
  AND(BikePurchase[[#This Row],[Age]]&gt;=55, BikePurchase[[#This Row],[Age]]&lt;90), "Old",
  TRUE, "Invalid"
)</f>
        <v>Old</v>
      </c>
      <c r="P969" t="s">
        <v>15</v>
      </c>
      <c r="Q969" t="str">
        <f>IF(BikePurchase[[#This Row],[Purchased BikeX]]="No","Not Purchased","Purchased")</f>
        <v>Not Purchased</v>
      </c>
    </row>
    <row r="970" spans="1:17" x14ac:dyDescent="0.3">
      <c r="A970">
        <v>18329</v>
      </c>
      <c r="B970" t="s">
        <v>31</v>
      </c>
      <c r="C970" t="str">
        <f t="shared" si="30"/>
        <v>Single</v>
      </c>
      <c r="D970" t="s">
        <v>30</v>
      </c>
      <c r="E970" t="str">
        <f t="shared" si="31"/>
        <v>Male</v>
      </c>
      <c r="F970" s="2">
        <v>30000</v>
      </c>
      <c r="G970">
        <v>0</v>
      </c>
      <c r="H970" t="s">
        <v>26</v>
      </c>
      <c r="I970" t="s">
        <v>17</v>
      </c>
      <c r="J970" t="s">
        <v>15</v>
      </c>
      <c r="K970">
        <v>2</v>
      </c>
      <c r="L970" t="s">
        <v>20</v>
      </c>
      <c r="M970" t="s">
        <v>28</v>
      </c>
      <c r="N970" s="2">
        <v>27</v>
      </c>
      <c r="O970" t="str" cm="1">
        <f t="array" ref="O970">_xlfn.IFS(
  AND(BikePurchase[[#This Row],[Age]]&gt;=18, BikePurchase[[#This Row],[Age]]&lt;=30), "Adolescent",
  AND(BikePurchase[[#This Row],[Age]]&gt;30, BikePurchase[[#This Row],[Age]]&lt;55), "Middle Aged",
  AND(BikePurchase[[#This Row],[Age]]&gt;=55, BikePurchase[[#This Row],[Age]]&lt;90), "Old",
  TRUE, "Invalid"
)</f>
        <v>Adolescent</v>
      </c>
      <c r="P970" t="s">
        <v>15</v>
      </c>
      <c r="Q970" t="str">
        <f>IF(BikePurchase[[#This Row],[Purchased BikeX]]="No","Not Purchased","Purchased")</f>
        <v>Not Purchased</v>
      </c>
    </row>
    <row r="971" spans="1:17" x14ac:dyDescent="0.3">
      <c r="A971">
        <v>29037</v>
      </c>
      <c r="B971" t="s">
        <v>30</v>
      </c>
      <c r="C971" t="str">
        <f t="shared" si="30"/>
        <v>Married</v>
      </c>
      <c r="D971" t="s">
        <v>30</v>
      </c>
      <c r="E971" t="str">
        <f t="shared" si="31"/>
        <v>Male</v>
      </c>
      <c r="F971" s="2">
        <v>60000</v>
      </c>
      <c r="G971">
        <v>0</v>
      </c>
      <c r="H971" t="s">
        <v>27</v>
      </c>
      <c r="I971" t="s">
        <v>18</v>
      </c>
      <c r="J971" t="s">
        <v>15</v>
      </c>
      <c r="K971">
        <v>0</v>
      </c>
      <c r="L971" t="s">
        <v>35</v>
      </c>
      <c r="M971" t="s">
        <v>28</v>
      </c>
      <c r="N971" s="2">
        <v>39</v>
      </c>
      <c r="O971" t="str" cm="1">
        <f t="array" ref="O971">_xlfn.IFS(
  AND(BikePurchase[[#This Row],[Age]]&gt;=18, BikePurchase[[#This Row],[Age]]&lt;=30), "Adolescent",
  AND(BikePurchase[[#This Row],[Age]]&gt;30, BikePurchase[[#This Row],[Age]]&lt;55), "Middle Aged",
  AND(BikePurchase[[#This Row],[Age]]&gt;=55, BikePurchase[[#This Row],[Age]]&lt;90), "Old",
  TRUE, "Invalid"
)</f>
        <v>Middle Aged</v>
      </c>
      <c r="P971" t="s">
        <v>15</v>
      </c>
      <c r="Q971" t="str">
        <f>IF(BikePurchase[[#This Row],[Purchased BikeX]]="No","Not Purchased","Purchased")</f>
        <v>Not Purchased</v>
      </c>
    </row>
    <row r="972" spans="1:17" x14ac:dyDescent="0.3">
      <c r="A972">
        <v>26576</v>
      </c>
      <c r="B972" t="s">
        <v>30</v>
      </c>
      <c r="C972" t="str">
        <f t="shared" si="30"/>
        <v>Married</v>
      </c>
      <c r="D972" t="s">
        <v>29</v>
      </c>
      <c r="E972" t="str">
        <f t="shared" si="31"/>
        <v>Female</v>
      </c>
      <c r="F972" s="2">
        <v>60000</v>
      </c>
      <c r="G972">
        <v>0</v>
      </c>
      <c r="H972" t="s">
        <v>16</v>
      </c>
      <c r="I972" t="s">
        <v>12</v>
      </c>
      <c r="J972" t="s">
        <v>13</v>
      </c>
      <c r="K972">
        <v>2</v>
      </c>
      <c r="L972" t="s">
        <v>20</v>
      </c>
      <c r="M972" t="s">
        <v>28</v>
      </c>
      <c r="N972" s="2">
        <v>31</v>
      </c>
      <c r="O972" t="str" cm="1">
        <f t="array" ref="O972">_xlfn.IFS(
  AND(BikePurchase[[#This Row],[Age]]&gt;=18, BikePurchase[[#This Row],[Age]]&lt;=30), "Adolescent",
  AND(BikePurchase[[#This Row],[Age]]&gt;30, BikePurchase[[#This Row],[Age]]&lt;55), "Middle Aged",
  AND(BikePurchase[[#This Row],[Age]]&gt;=55, BikePurchase[[#This Row],[Age]]&lt;90), "Old",
  TRUE, "Invalid"
)</f>
        <v>Middle Aged</v>
      </c>
      <c r="P972" t="s">
        <v>15</v>
      </c>
      <c r="Q972" t="str">
        <f>IF(BikePurchase[[#This Row],[Purchased BikeX]]="No","Not Purchased","Purchased")</f>
        <v>Not Purchased</v>
      </c>
    </row>
    <row r="973" spans="1:17" x14ac:dyDescent="0.3">
      <c r="A973">
        <v>12192</v>
      </c>
      <c r="B973" t="s">
        <v>31</v>
      </c>
      <c r="C973" t="str">
        <f t="shared" si="30"/>
        <v>Single</v>
      </c>
      <c r="D973" t="s">
        <v>29</v>
      </c>
      <c r="E973" t="str">
        <f t="shared" si="31"/>
        <v>Female</v>
      </c>
      <c r="F973" s="2">
        <v>60000</v>
      </c>
      <c r="G973">
        <v>2</v>
      </c>
      <c r="H973" t="s">
        <v>26</v>
      </c>
      <c r="I973" t="s">
        <v>12</v>
      </c>
      <c r="J973" t="s">
        <v>15</v>
      </c>
      <c r="K973">
        <v>2</v>
      </c>
      <c r="L973" t="s">
        <v>23</v>
      </c>
      <c r="M973" t="s">
        <v>28</v>
      </c>
      <c r="N973" s="2">
        <v>51</v>
      </c>
      <c r="O973" t="str" cm="1">
        <f t="array" ref="O973">_xlfn.IFS(
  AND(BikePurchase[[#This Row],[Age]]&gt;=18, BikePurchase[[#This Row],[Age]]&lt;=30), "Adolescent",
  AND(BikePurchase[[#This Row],[Age]]&gt;30, BikePurchase[[#This Row],[Age]]&lt;55), "Middle Aged",
  AND(BikePurchase[[#This Row],[Age]]&gt;=55, BikePurchase[[#This Row],[Age]]&lt;90), "Old",
  TRUE, "Invalid"
)</f>
        <v>Middle Aged</v>
      </c>
      <c r="P973" t="s">
        <v>15</v>
      </c>
      <c r="Q973" t="str">
        <f>IF(BikePurchase[[#This Row],[Purchased BikeX]]="No","Not Purchased","Purchased")</f>
        <v>Not Purchased</v>
      </c>
    </row>
    <row r="974" spans="1:17" x14ac:dyDescent="0.3">
      <c r="A974">
        <v>14887</v>
      </c>
      <c r="B974" t="s">
        <v>30</v>
      </c>
      <c r="C974" t="str">
        <f t="shared" si="30"/>
        <v>Married</v>
      </c>
      <c r="D974" t="s">
        <v>29</v>
      </c>
      <c r="E974" t="str">
        <f t="shared" si="31"/>
        <v>Female</v>
      </c>
      <c r="F974" s="2">
        <v>30000</v>
      </c>
      <c r="G974">
        <v>1</v>
      </c>
      <c r="H974" t="s">
        <v>24</v>
      </c>
      <c r="I974" t="s">
        <v>17</v>
      </c>
      <c r="J974" t="s">
        <v>13</v>
      </c>
      <c r="K974">
        <v>1</v>
      </c>
      <c r="L974" t="s">
        <v>20</v>
      </c>
      <c r="M974" t="s">
        <v>28</v>
      </c>
      <c r="N974" s="2">
        <v>52</v>
      </c>
      <c r="O974" t="str" cm="1">
        <f t="array" ref="O974">_xlfn.IFS(
  AND(BikePurchase[[#This Row],[Age]]&gt;=18, BikePurchase[[#This Row],[Age]]&lt;=30), "Adolescent",
  AND(BikePurchase[[#This Row],[Age]]&gt;30, BikePurchase[[#This Row],[Age]]&lt;55), "Middle Aged",
  AND(BikePurchase[[#This Row],[Age]]&gt;=55, BikePurchase[[#This Row],[Age]]&lt;90), "Old",
  TRUE, "Invalid"
)</f>
        <v>Middle Aged</v>
      </c>
      <c r="P974" t="s">
        <v>15</v>
      </c>
      <c r="Q974" t="str">
        <f>IF(BikePurchase[[#This Row],[Purchased BikeX]]="No","Not Purchased","Purchased")</f>
        <v>Not Purchased</v>
      </c>
    </row>
    <row r="975" spans="1:17" x14ac:dyDescent="0.3">
      <c r="A975">
        <v>11734</v>
      </c>
      <c r="B975" t="s">
        <v>30</v>
      </c>
      <c r="C975" t="str">
        <f t="shared" si="30"/>
        <v>Married</v>
      </c>
      <c r="D975" t="s">
        <v>30</v>
      </c>
      <c r="E975" t="str">
        <f t="shared" si="31"/>
        <v>Male</v>
      </c>
      <c r="F975" s="2">
        <v>60000</v>
      </c>
      <c r="G975">
        <v>1</v>
      </c>
      <c r="H975" t="s">
        <v>16</v>
      </c>
      <c r="I975" t="s">
        <v>12</v>
      </c>
      <c r="J975" t="s">
        <v>15</v>
      </c>
      <c r="K975">
        <v>1</v>
      </c>
      <c r="L975" t="s">
        <v>35</v>
      </c>
      <c r="M975" t="s">
        <v>28</v>
      </c>
      <c r="N975" s="2">
        <v>47</v>
      </c>
      <c r="O975" t="str" cm="1">
        <f t="array" ref="O975">_xlfn.IFS(
  AND(BikePurchase[[#This Row],[Age]]&gt;=18, BikePurchase[[#This Row],[Age]]&lt;=30), "Adolescent",
  AND(BikePurchase[[#This Row],[Age]]&gt;30, BikePurchase[[#This Row],[Age]]&lt;55), "Middle Aged",
  AND(BikePurchase[[#This Row],[Age]]&gt;=55, BikePurchase[[#This Row],[Age]]&lt;90), "Old",
  TRUE, "Invalid"
)</f>
        <v>Middle Aged</v>
      </c>
      <c r="P975" t="s">
        <v>15</v>
      </c>
      <c r="Q975" t="str">
        <f>IF(BikePurchase[[#This Row],[Purchased BikeX]]="No","Not Purchased","Purchased")</f>
        <v>Not Purchased</v>
      </c>
    </row>
    <row r="976" spans="1:17" x14ac:dyDescent="0.3">
      <c r="A976">
        <v>17462</v>
      </c>
      <c r="B976" t="s">
        <v>30</v>
      </c>
      <c r="C976" t="str">
        <f t="shared" si="30"/>
        <v>Married</v>
      </c>
      <c r="D976" t="s">
        <v>30</v>
      </c>
      <c r="E976" t="str">
        <f t="shared" si="31"/>
        <v>Male</v>
      </c>
      <c r="F976" s="2">
        <v>70000</v>
      </c>
      <c r="G976">
        <v>3</v>
      </c>
      <c r="H976" t="s">
        <v>27</v>
      </c>
      <c r="I976" t="s">
        <v>25</v>
      </c>
      <c r="J976" t="s">
        <v>13</v>
      </c>
      <c r="K976">
        <v>2</v>
      </c>
      <c r="L976" t="s">
        <v>20</v>
      </c>
      <c r="M976" t="s">
        <v>28</v>
      </c>
      <c r="N976" s="2">
        <v>53</v>
      </c>
      <c r="O976" t="str" cm="1">
        <f t="array" ref="O976">_xlfn.IFS(
  AND(BikePurchase[[#This Row],[Age]]&gt;=18, BikePurchase[[#This Row],[Age]]&lt;=30), "Adolescent",
  AND(BikePurchase[[#This Row],[Age]]&gt;30, BikePurchase[[#This Row],[Age]]&lt;55), "Middle Aged",
  AND(BikePurchase[[#This Row],[Age]]&gt;=55, BikePurchase[[#This Row],[Age]]&lt;90), "Old",
  TRUE, "Invalid"
)</f>
        <v>Middle Aged</v>
      </c>
      <c r="P976" t="s">
        <v>13</v>
      </c>
      <c r="Q976" t="str">
        <f>IF(BikePurchase[[#This Row],[Purchased BikeX]]="No","Not Purchased","Purchased")</f>
        <v>Purchased</v>
      </c>
    </row>
    <row r="977" spans="1:17" x14ac:dyDescent="0.3">
      <c r="A977">
        <v>20659</v>
      </c>
      <c r="B977" t="s">
        <v>30</v>
      </c>
      <c r="C977" t="str">
        <f t="shared" si="30"/>
        <v>Married</v>
      </c>
      <c r="D977" t="s">
        <v>30</v>
      </c>
      <c r="E977" t="str">
        <f t="shared" si="31"/>
        <v>Male</v>
      </c>
      <c r="F977" s="2">
        <v>70000</v>
      </c>
      <c r="G977">
        <v>3</v>
      </c>
      <c r="H977" t="s">
        <v>27</v>
      </c>
      <c r="I977" t="s">
        <v>18</v>
      </c>
      <c r="J977" t="s">
        <v>13</v>
      </c>
      <c r="K977">
        <v>0</v>
      </c>
      <c r="L977" t="s">
        <v>35</v>
      </c>
      <c r="M977" t="s">
        <v>28</v>
      </c>
      <c r="N977" s="2">
        <v>35</v>
      </c>
      <c r="O977" t="str" cm="1">
        <f t="array" ref="O977">_xlfn.IFS(
  AND(BikePurchase[[#This Row],[Age]]&gt;=18, BikePurchase[[#This Row],[Age]]&lt;=30), "Adolescent",
  AND(BikePurchase[[#This Row],[Age]]&gt;30, BikePurchase[[#This Row],[Age]]&lt;55), "Middle Aged",
  AND(BikePurchase[[#This Row],[Age]]&gt;=55, BikePurchase[[#This Row],[Age]]&lt;90), "Old",
  TRUE, "Invalid"
)</f>
        <v>Middle Aged</v>
      </c>
      <c r="P977" t="s">
        <v>13</v>
      </c>
      <c r="Q977" t="str">
        <f>IF(BikePurchase[[#This Row],[Purchased BikeX]]="No","Not Purchased","Purchased")</f>
        <v>Purchased</v>
      </c>
    </row>
    <row r="978" spans="1:17" x14ac:dyDescent="0.3">
      <c r="A978">
        <v>28004</v>
      </c>
      <c r="B978" t="s">
        <v>30</v>
      </c>
      <c r="C978" t="str">
        <f t="shared" si="30"/>
        <v>Married</v>
      </c>
      <c r="D978" t="s">
        <v>29</v>
      </c>
      <c r="E978" t="str">
        <f t="shared" si="31"/>
        <v>Female</v>
      </c>
      <c r="F978" s="2">
        <v>60000</v>
      </c>
      <c r="G978">
        <v>3</v>
      </c>
      <c r="H978" t="s">
        <v>11</v>
      </c>
      <c r="I978" t="s">
        <v>25</v>
      </c>
      <c r="J978" t="s">
        <v>13</v>
      </c>
      <c r="K978">
        <v>2</v>
      </c>
      <c r="L978" t="s">
        <v>48</v>
      </c>
      <c r="M978" t="s">
        <v>28</v>
      </c>
      <c r="N978" s="2">
        <v>66</v>
      </c>
      <c r="O978" t="str" cm="1">
        <f t="array" ref="O978">_xlfn.IFS(
  AND(BikePurchase[[#This Row],[Age]]&gt;=18, BikePurchase[[#This Row],[Age]]&lt;=30), "Adolescent",
  AND(BikePurchase[[#This Row],[Age]]&gt;30, BikePurchase[[#This Row],[Age]]&lt;55), "Middle Aged",
  AND(BikePurchase[[#This Row],[Age]]&gt;=55, BikePurchase[[#This Row],[Age]]&lt;90), "Old",
  TRUE, "Invalid"
)</f>
        <v>Old</v>
      </c>
      <c r="P978" t="s">
        <v>15</v>
      </c>
      <c r="Q978" t="str">
        <f>IF(BikePurchase[[#This Row],[Purchased BikeX]]="No","Not Purchased","Purchased")</f>
        <v>Not Purchased</v>
      </c>
    </row>
    <row r="979" spans="1:17" x14ac:dyDescent="0.3">
      <c r="A979">
        <v>19741</v>
      </c>
      <c r="B979" t="s">
        <v>31</v>
      </c>
      <c r="C979" t="str">
        <f t="shared" si="30"/>
        <v>Single</v>
      </c>
      <c r="D979" t="s">
        <v>29</v>
      </c>
      <c r="E979" t="str">
        <f t="shared" si="31"/>
        <v>Female</v>
      </c>
      <c r="F979" s="2">
        <v>80000</v>
      </c>
      <c r="G979">
        <v>4</v>
      </c>
      <c r="H979" t="s">
        <v>27</v>
      </c>
      <c r="I979" t="s">
        <v>25</v>
      </c>
      <c r="J979" t="s">
        <v>13</v>
      </c>
      <c r="K979">
        <v>2</v>
      </c>
      <c r="L979" t="s">
        <v>20</v>
      </c>
      <c r="M979" t="s">
        <v>28</v>
      </c>
      <c r="N979" s="2">
        <v>65</v>
      </c>
      <c r="O979" t="str" cm="1">
        <f t="array" ref="O979">_xlfn.IFS(
  AND(BikePurchase[[#This Row],[Age]]&gt;=18, BikePurchase[[#This Row],[Age]]&lt;=30), "Adolescent",
  AND(BikePurchase[[#This Row],[Age]]&gt;30, BikePurchase[[#This Row],[Age]]&lt;55), "Middle Aged",
  AND(BikePurchase[[#This Row],[Age]]&gt;=55, BikePurchase[[#This Row],[Age]]&lt;90), "Old",
  TRUE, "Invalid"
)</f>
        <v>Old</v>
      </c>
      <c r="P979" t="s">
        <v>15</v>
      </c>
      <c r="Q979" t="str">
        <f>IF(BikePurchase[[#This Row],[Purchased BikeX]]="No","Not Purchased","Purchased")</f>
        <v>Not Purchased</v>
      </c>
    </row>
    <row r="980" spans="1:17" x14ac:dyDescent="0.3">
      <c r="A980">
        <v>17450</v>
      </c>
      <c r="B980" t="s">
        <v>30</v>
      </c>
      <c r="C980" t="str">
        <f t="shared" si="30"/>
        <v>Married</v>
      </c>
      <c r="D980" t="s">
        <v>30</v>
      </c>
      <c r="E980" t="str">
        <f t="shared" si="31"/>
        <v>Male</v>
      </c>
      <c r="F980" s="2">
        <v>80000</v>
      </c>
      <c r="G980">
        <v>5</v>
      </c>
      <c r="H980" t="s">
        <v>16</v>
      </c>
      <c r="I980" t="s">
        <v>18</v>
      </c>
      <c r="J980" t="s">
        <v>13</v>
      </c>
      <c r="K980">
        <v>3</v>
      </c>
      <c r="L980" t="s">
        <v>20</v>
      </c>
      <c r="M980" t="s">
        <v>28</v>
      </c>
      <c r="N980" s="2">
        <v>45</v>
      </c>
      <c r="O980" t="str" cm="1">
        <f t="array" ref="O980">_xlfn.IFS(
  AND(BikePurchase[[#This Row],[Age]]&gt;=18, BikePurchase[[#This Row],[Age]]&lt;=30), "Adolescent",
  AND(BikePurchase[[#This Row],[Age]]&gt;30, BikePurchase[[#This Row],[Age]]&lt;55), "Middle Aged",
  AND(BikePurchase[[#This Row],[Age]]&gt;=55, BikePurchase[[#This Row],[Age]]&lt;90), "Old",
  TRUE, "Invalid"
)</f>
        <v>Middle Aged</v>
      </c>
      <c r="P980" t="s">
        <v>15</v>
      </c>
      <c r="Q980" t="str">
        <f>IF(BikePurchase[[#This Row],[Purchased BikeX]]="No","Not Purchased","Purchased")</f>
        <v>Not Purchased</v>
      </c>
    </row>
    <row r="981" spans="1:17" x14ac:dyDescent="0.3">
      <c r="A981">
        <v>17337</v>
      </c>
      <c r="B981" t="s">
        <v>31</v>
      </c>
      <c r="C981" t="str">
        <f t="shared" si="30"/>
        <v>Single</v>
      </c>
      <c r="D981" t="s">
        <v>30</v>
      </c>
      <c r="E981" t="str">
        <f t="shared" si="31"/>
        <v>Male</v>
      </c>
      <c r="F981" s="2">
        <v>40000</v>
      </c>
      <c r="G981">
        <v>0</v>
      </c>
      <c r="H981" t="s">
        <v>24</v>
      </c>
      <c r="I981" t="s">
        <v>12</v>
      </c>
      <c r="J981" t="s">
        <v>13</v>
      </c>
      <c r="K981">
        <v>1</v>
      </c>
      <c r="L981" t="s">
        <v>20</v>
      </c>
      <c r="M981" t="s">
        <v>28</v>
      </c>
      <c r="N981" s="2">
        <v>31</v>
      </c>
      <c r="O981" t="str" cm="1">
        <f t="array" ref="O981">_xlfn.IFS(
  AND(BikePurchase[[#This Row],[Age]]&gt;=18, BikePurchase[[#This Row],[Age]]&lt;=30), "Adolescent",
  AND(BikePurchase[[#This Row],[Age]]&gt;30, BikePurchase[[#This Row],[Age]]&lt;55), "Middle Aged",
  AND(BikePurchase[[#This Row],[Age]]&gt;=55, BikePurchase[[#This Row],[Age]]&lt;90), "Old",
  TRUE, "Invalid"
)</f>
        <v>Middle Aged</v>
      </c>
      <c r="P981" t="s">
        <v>15</v>
      </c>
      <c r="Q981" t="str">
        <f>IF(BikePurchase[[#This Row],[Purchased BikeX]]="No","Not Purchased","Purchased")</f>
        <v>Not Purchased</v>
      </c>
    </row>
    <row r="982" spans="1:17" x14ac:dyDescent="0.3">
      <c r="A982">
        <v>18594</v>
      </c>
      <c r="B982" t="s">
        <v>31</v>
      </c>
      <c r="C982" t="str">
        <f t="shared" si="30"/>
        <v>Single</v>
      </c>
      <c r="D982" t="s">
        <v>29</v>
      </c>
      <c r="E982" t="str">
        <f t="shared" si="31"/>
        <v>Female</v>
      </c>
      <c r="F982" s="2">
        <v>80000</v>
      </c>
      <c r="G982">
        <v>3</v>
      </c>
      <c r="H982" t="s">
        <v>11</v>
      </c>
      <c r="I982" t="s">
        <v>12</v>
      </c>
      <c r="J982" t="s">
        <v>13</v>
      </c>
      <c r="K982">
        <v>3</v>
      </c>
      <c r="L982" t="s">
        <v>48</v>
      </c>
      <c r="M982" t="s">
        <v>28</v>
      </c>
      <c r="N982" s="2">
        <v>40</v>
      </c>
      <c r="O982" t="str" cm="1">
        <f t="array" ref="O982">_xlfn.IFS(
  AND(BikePurchase[[#This Row],[Age]]&gt;=18, BikePurchase[[#This Row],[Age]]&lt;=30), "Adolescent",
  AND(BikePurchase[[#This Row],[Age]]&gt;30, BikePurchase[[#This Row],[Age]]&lt;55), "Middle Aged",
  AND(BikePurchase[[#This Row],[Age]]&gt;=55, BikePurchase[[#This Row],[Age]]&lt;90), "Old",
  TRUE, "Invalid"
)</f>
        <v>Middle Aged</v>
      </c>
      <c r="P982" t="s">
        <v>13</v>
      </c>
      <c r="Q982" t="str">
        <f>IF(BikePurchase[[#This Row],[Purchased BikeX]]="No","Not Purchased","Purchased")</f>
        <v>Purchased</v>
      </c>
    </row>
    <row r="983" spans="1:17" x14ac:dyDescent="0.3">
      <c r="A983">
        <v>15982</v>
      </c>
      <c r="B983" t="s">
        <v>30</v>
      </c>
      <c r="C983" t="str">
        <f t="shared" si="30"/>
        <v>Married</v>
      </c>
      <c r="D983" t="s">
        <v>30</v>
      </c>
      <c r="E983" t="str">
        <f t="shared" si="31"/>
        <v>Male</v>
      </c>
      <c r="F983" s="2">
        <v>110000</v>
      </c>
      <c r="G983">
        <v>5</v>
      </c>
      <c r="H983" t="s">
        <v>16</v>
      </c>
      <c r="I983" t="s">
        <v>18</v>
      </c>
      <c r="J983" t="s">
        <v>13</v>
      </c>
      <c r="K983">
        <v>4</v>
      </c>
      <c r="L983" t="s">
        <v>19</v>
      </c>
      <c r="M983" t="s">
        <v>28</v>
      </c>
      <c r="N983" s="2">
        <v>46</v>
      </c>
      <c r="O983" t="str" cm="1">
        <f t="array" ref="O983">_xlfn.IFS(
  AND(BikePurchase[[#This Row],[Age]]&gt;=18, BikePurchase[[#This Row],[Age]]&lt;=30), "Adolescent",
  AND(BikePurchase[[#This Row],[Age]]&gt;30, BikePurchase[[#This Row],[Age]]&lt;55), "Middle Aged",
  AND(BikePurchase[[#This Row],[Age]]&gt;=55, BikePurchase[[#This Row],[Age]]&lt;90), "Old",
  TRUE, "Invalid"
)</f>
        <v>Middle Aged</v>
      </c>
      <c r="P983" t="s">
        <v>15</v>
      </c>
      <c r="Q983" t="str">
        <f>IF(BikePurchase[[#This Row],[Purchased BikeX]]="No","Not Purchased","Purchased")</f>
        <v>Not Purchased</v>
      </c>
    </row>
    <row r="984" spans="1:17" x14ac:dyDescent="0.3">
      <c r="A984">
        <v>28625</v>
      </c>
      <c r="B984" t="s">
        <v>31</v>
      </c>
      <c r="C984" t="str">
        <f t="shared" si="30"/>
        <v>Single</v>
      </c>
      <c r="D984" t="s">
        <v>30</v>
      </c>
      <c r="E984" t="str">
        <f t="shared" si="31"/>
        <v>Male</v>
      </c>
      <c r="F984" s="2">
        <v>40000</v>
      </c>
      <c r="G984">
        <v>2</v>
      </c>
      <c r="H984" t="s">
        <v>16</v>
      </c>
      <c r="I984" t="s">
        <v>17</v>
      </c>
      <c r="J984" t="s">
        <v>15</v>
      </c>
      <c r="K984">
        <v>1</v>
      </c>
      <c r="L984" t="s">
        <v>23</v>
      </c>
      <c r="M984" t="s">
        <v>28</v>
      </c>
      <c r="N984" s="2">
        <v>47</v>
      </c>
      <c r="O984" t="str" cm="1">
        <f t="array" ref="O984">_xlfn.IFS(
  AND(BikePurchase[[#This Row],[Age]]&gt;=18, BikePurchase[[#This Row],[Age]]&lt;=30), "Adolescent",
  AND(BikePurchase[[#This Row],[Age]]&gt;30, BikePurchase[[#This Row],[Age]]&lt;55), "Middle Aged",
  AND(BikePurchase[[#This Row],[Age]]&gt;=55, BikePurchase[[#This Row],[Age]]&lt;90), "Old",
  TRUE, "Invalid"
)</f>
        <v>Middle Aged</v>
      </c>
      <c r="P984" t="s">
        <v>13</v>
      </c>
      <c r="Q984" t="str">
        <f>IF(BikePurchase[[#This Row],[Purchased BikeX]]="No","Not Purchased","Purchased")</f>
        <v>Purchased</v>
      </c>
    </row>
    <row r="985" spans="1:17" x14ac:dyDescent="0.3">
      <c r="A985">
        <v>11269</v>
      </c>
      <c r="B985" t="s">
        <v>30</v>
      </c>
      <c r="C985" t="str">
        <f t="shared" si="30"/>
        <v>Married</v>
      </c>
      <c r="D985" t="s">
        <v>30</v>
      </c>
      <c r="E985" t="str">
        <f t="shared" si="31"/>
        <v>Male</v>
      </c>
      <c r="F985" s="2">
        <v>130000</v>
      </c>
      <c r="G985">
        <v>2</v>
      </c>
      <c r="H985" t="s">
        <v>27</v>
      </c>
      <c r="I985" t="s">
        <v>25</v>
      </c>
      <c r="J985" t="s">
        <v>13</v>
      </c>
      <c r="K985">
        <v>2</v>
      </c>
      <c r="L985" t="s">
        <v>35</v>
      </c>
      <c r="M985" t="s">
        <v>28</v>
      </c>
      <c r="N985" s="2">
        <v>41</v>
      </c>
      <c r="O985" t="str" cm="1">
        <f t="array" ref="O985">_xlfn.IFS(
  AND(BikePurchase[[#This Row],[Age]]&gt;=18, BikePurchase[[#This Row],[Age]]&lt;=30), "Adolescent",
  AND(BikePurchase[[#This Row],[Age]]&gt;30, BikePurchase[[#This Row],[Age]]&lt;55), "Middle Aged",
  AND(BikePurchase[[#This Row],[Age]]&gt;=55, BikePurchase[[#This Row],[Age]]&lt;90), "Old",
  TRUE, "Invalid"
)</f>
        <v>Middle Aged</v>
      </c>
      <c r="P985" t="s">
        <v>15</v>
      </c>
      <c r="Q985" t="str">
        <f>IF(BikePurchase[[#This Row],[Purchased BikeX]]="No","Not Purchased","Purchased")</f>
        <v>Not Purchased</v>
      </c>
    </row>
    <row r="986" spans="1:17" x14ac:dyDescent="0.3">
      <c r="A986">
        <v>25148</v>
      </c>
      <c r="B986" t="s">
        <v>30</v>
      </c>
      <c r="C986" t="str">
        <f t="shared" si="30"/>
        <v>Married</v>
      </c>
      <c r="D986" t="s">
        <v>30</v>
      </c>
      <c r="E986" t="str">
        <f t="shared" si="31"/>
        <v>Male</v>
      </c>
      <c r="F986" s="2">
        <v>60000</v>
      </c>
      <c r="G986">
        <v>2</v>
      </c>
      <c r="H986" t="s">
        <v>24</v>
      </c>
      <c r="I986" t="s">
        <v>18</v>
      </c>
      <c r="J986" t="s">
        <v>15</v>
      </c>
      <c r="K986">
        <v>2</v>
      </c>
      <c r="L986" t="s">
        <v>23</v>
      </c>
      <c r="M986" t="s">
        <v>28</v>
      </c>
      <c r="N986" s="2">
        <v>48</v>
      </c>
      <c r="O986" t="str" cm="1">
        <f t="array" ref="O986">_xlfn.IFS(
  AND(BikePurchase[[#This Row],[Age]]&gt;=18, BikePurchase[[#This Row],[Age]]&lt;=30), "Adolescent",
  AND(BikePurchase[[#This Row],[Age]]&gt;30, BikePurchase[[#This Row],[Age]]&lt;55), "Middle Aged",
  AND(BikePurchase[[#This Row],[Age]]&gt;=55, BikePurchase[[#This Row],[Age]]&lt;90), "Old",
  TRUE, "Invalid"
)</f>
        <v>Middle Aged</v>
      </c>
      <c r="P986" t="s">
        <v>13</v>
      </c>
      <c r="Q986" t="str">
        <f>IF(BikePurchase[[#This Row],[Purchased BikeX]]="No","Not Purchased","Purchased")</f>
        <v>Purchased</v>
      </c>
    </row>
    <row r="987" spans="1:17" x14ac:dyDescent="0.3">
      <c r="A987">
        <v>13920</v>
      </c>
      <c r="B987" t="s">
        <v>31</v>
      </c>
      <c r="C987" t="str">
        <f t="shared" si="30"/>
        <v>Single</v>
      </c>
      <c r="D987" t="s">
        <v>29</v>
      </c>
      <c r="E987" t="str">
        <f t="shared" si="31"/>
        <v>Female</v>
      </c>
      <c r="F987" s="2">
        <v>50000</v>
      </c>
      <c r="G987">
        <v>4</v>
      </c>
      <c r="H987" t="s">
        <v>11</v>
      </c>
      <c r="I987" t="s">
        <v>12</v>
      </c>
      <c r="J987" t="s">
        <v>13</v>
      </c>
      <c r="K987">
        <v>2</v>
      </c>
      <c r="L987" t="s">
        <v>35</v>
      </c>
      <c r="M987" t="s">
        <v>28</v>
      </c>
      <c r="N987" s="2">
        <v>42</v>
      </c>
      <c r="O987" t="str" cm="1">
        <f t="array" ref="O987">_xlfn.IFS(
  AND(BikePurchase[[#This Row],[Age]]&gt;=18, BikePurchase[[#This Row],[Age]]&lt;=30), "Adolescent",
  AND(BikePurchase[[#This Row],[Age]]&gt;30, BikePurchase[[#This Row],[Age]]&lt;55), "Middle Aged",
  AND(BikePurchase[[#This Row],[Age]]&gt;=55, BikePurchase[[#This Row],[Age]]&lt;90), "Old",
  TRUE, "Invalid"
)</f>
        <v>Middle Aged</v>
      </c>
      <c r="P987" t="s">
        <v>15</v>
      </c>
      <c r="Q987" t="str">
        <f>IF(BikePurchase[[#This Row],[Purchased BikeX]]="No","Not Purchased","Purchased")</f>
        <v>Not Purchased</v>
      </c>
    </row>
    <row r="988" spans="1:17" x14ac:dyDescent="0.3">
      <c r="A988">
        <v>23704</v>
      </c>
      <c r="B988" t="s">
        <v>31</v>
      </c>
      <c r="C988" t="str">
        <f t="shared" si="30"/>
        <v>Single</v>
      </c>
      <c r="D988" t="s">
        <v>30</v>
      </c>
      <c r="E988" t="str">
        <f t="shared" si="31"/>
        <v>Male</v>
      </c>
      <c r="F988" s="2">
        <v>40000</v>
      </c>
      <c r="G988">
        <v>5</v>
      </c>
      <c r="H988" t="s">
        <v>24</v>
      </c>
      <c r="I988" t="s">
        <v>18</v>
      </c>
      <c r="J988" t="s">
        <v>13</v>
      </c>
      <c r="K988">
        <v>4</v>
      </c>
      <c r="L988" t="s">
        <v>48</v>
      </c>
      <c r="M988" t="s">
        <v>28</v>
      </c>
      <c r="N988" s="2">
        <v>60</v>
      </c>
      <c r="O988" t="str" cm="1">
        <f t="array" ref="O988">_xlfn.IFS(
  AND(BikePurchase[[#This Row],[Age]]&gt;=18, BikePurchase[[#This Row],[Age]]&lt;=30), "Adolescent",
  AND(BikePurchase[[#This Row],[Age]]&gt;30, BikePurchase[[#This Row],[Age]]&lt;55), "Middle Aged",
  AND(BikePurchase[[#This Row],[Age]]&gt;=55, BikePurchase[[#This Row],[Age]]&lt;90), "Old",
  TRUE, "Invalid"
)</f>
        <v>Old</v>
      </c>
      <c r="P988" t="s">
        <v>13</v>
      </c>
      <c r="Q988" t="str">
        <f>IF(BikePurchase[[#This Row],[Purchased BikeX]]="No","Not Purchased","Purchased")</f>
        <v>Purchased</v>
      </c>
    </row>
    <row r="989" spans="1:17" x14ac:dyDescent="0.3">
      <c r="A989">
        <v>28972</v>
      </c>
      <c r="B989" t="s">
        <v>31</v>
      </c>
      <c r="C989" t="str">
        <f t="shared" si="30"/>
        <v>Single</v>
      </c>
      <c r="D989" t="s">
        <v>29</v>
      </c>
      <c r="E989" t="str">
        <f t="shared" si="31"/>
        <v>Female</v>
      </c>
      <c r="F989" s="2">
        <v>60000</v>
      </c>
      <c r="G989">
        <v>3</v>
      </c>
      <c r="H989" t="s">
        <v>27</v>
      </c>
      <c r="I989" t="s">
        <v>25</v>
      </c>
      <c r="J989" t="s">
        <v>13</v>
      </c>
      <c r="K989">
        <v>2</v>
      </c>
      <c r="L989" t="s">
        <v>48</v>
      </c>
      <c r="M989" t="s">
        <v>28</v>
      </c>
      <c r="N989" s="2">
        <v>66</v>
      </c>
      <c r="O989" t="str" cm="1">
        <f t="array" ref="O989">_xlfn.IFS(
  AND(BikePurchase[[#This Row],[Age]]&gt;=18, BikePurchase[[#This Row],[Age]]&lt;=30), "Adolescent",
  AND(BikePurchase[[#This Row],[Age]]&gt;30, BikePurchase[[#This Row],[Age]]&lt;55), "Middle Aged",
  AND(BikePurchase[[#This Row],[Age]]&gt;=55, BikePurchase[[#This Row],[Age]]&lt;90), "Old",
  TRUE, "Invalid"
)</f>
        <v>Old</v>
      </c>
      <c r="P989" t="s">
        <v>15</v>
      </c>
      <c r="Q989" t="str">
        <f>IF(BikePurchase[[#This Row],[Purchased BikeX]]="No","Not Purchased","Purchased")</f>
        <v>Not Purchased</v>
      </c>
    </row>
    <row r="990" spans="1:17" x14ac:dyDescent="0.3">
      <c r="A990">
        <v>22730</v>
      </c>
      <c r="B990" t="s">
        <v>30</v>
      </c>
      <c r="C990" t="str">
        <f t="shared" si="30"/>
        <v>Married</v>
      </c>
      <c r="D990" t="s">
        <v>30</v>
      </c>
      <c r="E990" t="str">
        <f t="shared" si="31"/>
        <v>Male</v>
      </c>
      <c r="F990" s="2">
        <v>70000</v>
      </c>
      <c r="G990">
        <v>5</v>
      </c>
      <c r="H990" t="s">
        <v>11</v>
      </c>
      <c r="I990" t="s">
        <v>25</v>
      </c>
      <c r="J990" t="s">
        <v>13</v>
      </c>
      <c r="K990">
        <v>2</v>
      </c>
      <c r="L990" t="s">
        <v>48</v>
      </c>
      <c r="M990" t="s">
        <v>28</v>
      </c>
      <c r="N990" s="2">
        <v>63</v>
      </c>
      <c r="O990" t="str" cm="1">
        <f t="array" ref="O990">_xlfn.IFS(
  AND(BikePurchase[[#This Row],[Age]]&gt;=18, BikePurchase[[#This Row],[Age]]&lt;=30), "Adolescent",
  AND(BikePurchase[[#This Row],[Age]]&gt;30, BikePurchase[[#This Row],[Age]]&lt;55), "Middle Aged",
  AND(BikePurchase[[#This Row],[Age]]&gt;=55, BikePurchase[[#This Row],[Age]]&lt;90), "Old",
  TRUE, "Invalid"
)</f>
        <v>Old</v>
      </c>
      <c r="P990" t="s">
        <v>15</v>
      </c>
      <c r="Q990" t="str">
        <f>IF(BikePurchase[[#This Row],[Purchased BikeX]]="No","Not Purchased","Purchased")</f>
        <v>Not Purchased</v>
      </c>
    </row>
    <row r="991" spans="1:17" x14ac:dyDescent="0.3">
      <c r="A991">
        <v>29134</v>
      </c>
      <c r="B991" t="s">
        <v>30</v>
      </c>
      <c r="C991" t="str">
        <f t="shared" si="30"/>
        <v>Married</v>
      </c>
      <c r="D991" t="s">
        <v>30</v>
      </c>
      <c r="E991" t="str">
        <f t="shared" si="31"/>
        <v>Male</v>
      </c>
      <c r="F991" s="2">
        <v>60000</v>
      </c>
      <c r="G991">
        <v>4</v>
      </c>
      <c r="H991" t="s">
        <v>11</v>
      </c>
      <c r="I991" t="s">
        <v>12</v>
      </c>
      <c r="J991" t="s">
        <v>15</v>
      </c>
      <c r="K991">
        <v>3</v>
      </c>
      <c r="L991" t="s">
        <v>48</v>
      </c>
      <c r="M991" t="s">
        <v>28</v>
      </c>
      <c r="N991" s="2">
        <v>42</v>
      </c>
      <c r="O991" t="str" cm="1">
        <f t="array" ref="O991">_xlfn.IFS(
  AND(BikePurchase[[#This Row],[Age]]&gt;=18, BikePurchase[[#This Row],[Age]]&lt;=30), "Adolescent",
  AND(BikePurchase[[#This Row],[Age]]&gt;30, BikePurchase[[#This Row],[Age]]&lt;55), "Middle Aged",
  AND(BikePurchase[[#This Row],[Age]]&gt;=55, BikePurchase[[#This Row],[Age]]&lt;90), "Old",
  TRUE, "Invalid"
)</f>
        <v>Middle Aged</v>
      </c>
      <c r="P991" t="s">
        <v>15</v>
      </c>
      <c r="Q991" t="str">
        <f>IF(BikePurchase[[#This Row],[Purchased BikeX]]="No","Not Purchased","Purchased")</f>
        <v>Not Purchased</v>
      </c>
    </row>
    <row r="992" spans="1:17" x14ac:dyDescent="0.3">
      <c r="A992">
        <v>14332</v>
      </c>
      <c r="B992" t="s">
        <v>31</v>
      </c>
      <c r="C992" t="str">
        <f t="shared" si="30"/>
        <v>Single</v>
      </c>
      <c r="D992" t="s">
        <v>29</v>
      </c>
      <c r="E992" t="str">
        <f t="shared" si="31"/>
        <v>Female</v>
      </c>
      <c r="F992" s="2">
        <v>30000</v>
      </c>
      <c r="G992">
        <v>0</v>
      </c>
      <c r="H992" t="s">
        <v>24</v>
      </c>
      <c r="I992" t="s">
        <v>12</v>
      </c>
      <c r="J992" t="s">
        <v>15</v>
      </c>
      <c r="K992">
        <v>2</v>
      </c>
      <c r="L992" t="s">
        <v>20</v>
      </c>
      <c r="M992" t="s">
        <v>28</v>
      </c>
      <c r="N992" s="2">
        <v>26</v>
      </c>
      <c r="O992" t="str" cm="1">
        <f t="array" ref="O992">_xlfn.IFS(
  AND(BikePurchase[[#This Row],[Age]]&gt;=18, BikePurchase[[#This Row],[Age]]&lt;=30), "Adolescent",
  AND(BikePurchase[[#This Row],[Age]]&gt;30, BikePurchase[[#This Row],[Age]]&lt;55), "Middle Aged",
  AND(BikePurchase[[#This Row],[Age]]&gt;=55, BikePurchase[[#This Row],[Age]]&lt;90), "Old",
  TRUE, "Invalid"
)</f>
        <v>Adolescent</v>
      </c>
      <c r="P992" t="s">
        <v>15</v>
      </c>
      <c r="Q992" t="str">
        <f>IF(BikePurchase[[#This Row],[Purchased BikeX]]="No","Not Purchased","Purchased")</f>
        <v>Not Purchased</v>
      </c>
    </row>
    <row r="993" spans="1:17" x14ac:dyDescent="0.3">
      <c r="A993">
        <v>19117</v>
      </c>
      <c r="B993" t="s">
        <v>31</v>
      </c>
      <c r="C993" t="str">
        <f t="shared" si="30"/>
        <v>Single</v>
      </c>
      <c r="D993" t="s">
        <v>29</v>
      </c>
      <c r="E993" t="str">
        <f t="shared" si="31"/>
        <v>Female</v>
      </c>
      <c r="F993" s="2">
        <v>60000</v>
      </c>
      <c r="G993">
        <v>1</v>
      </c>
      <c r="H993" t="s">
        <v>27</v>
      </c>
      <c r="I993" t="s">
        <v>18</v>
      </c>
      <c r="J993" t="s">
        <v>13</v>
      </c>
      <c r="K993">
        <v>0</v>
      </c>
      <c r="L993" t="s">
        <v>19</v>
      </c>
      <c r="M993" t="s">
        <v>28</v>
      </c>
      <c r="N993" s="2">
        <v>36</v>
      </c>
      <c r="O993" t="str" cm="1">
        <f t="array" ref="O993">_xlfn.IFS(
  AND(BikePurchase[[#This Row],[Age]]&gt;=18, BikePurchase[[#This Row],[Age]]&lt;=30), "Adolescent",
  AND(BikePurchase[[#This Row],[Age]]&gt;30, BikePurchase[[#This Row],[Age]]&lt;55), "Middle Aged",
  AND(BikePurchase[[#This Row],[Age]]&gt;=55, BikePurchase[[#This Row],[Age]]&lt;90), "Old",
  TRUE, "Invalid"
)</f>
        <v>Middle Aged</v>
      </c>
      <c r="P993" t="s">
        <v>13</v>
      </c>
      <c r="Q993" t="str">
        <f>IF(BikePurchase[[#This Row],[Purchased BikeX]]="No","Not Purchased","Purchased")</f>
        <v>Purchased</v>
      </c>
    </row>
    <row r="994" spans="1:17" x14ac:dyDescent="0.3">
      <c r="A994">
        <v>22864</v>
      </c>
      <c r="B994" t="s">
        <v>30</v>
      </c>
      <c r="C994" t="str">
        <f t="shared" si="30"/>
        <v>Married</v>
      </c>
      <c r="D994" t="s">
        <v>30</v>
      </c>
      <c r="E994" t="str">
        <f t="shared" si="31"/>
        <v>Male</v>
      </c>
      <c r="F994" s="2">
        <v>90000</v>
      </c>
      <c r="G994">
        <v>2</v>
      </c>
      <c r="H994" t="s">
        <v>16</v>
      </c>
      <c r="I994" t="s">
        <v>18</v>
      </c>
      <c r="J994" t="s">
        <v>15</v>
      </c>
      <c r="K994">
        <v>0</v>
      </c>
      <c r="L994" t="s">
        <v>20</v>
      </c>
      <c r="M994" t="s">
        <v>28</v>
      </c>
      <c r="N994" s="2">
        <v>49</v>
      </c>
      <c r="O994" t="str" cm="1">
        <f t="array" ref="O994">_xlfn.IFS(
  AND(BikePurchase[[#This Row],[Age]]&gt;=18, BikePurchase[[#This Row],[Age]]&lt;=30), "Adolescent",
  AND(BikePurchase[[#This Row],[Age]]&gt;30, BikePurchase[[#This Row],[Age]]&lt;55), "Middle Aged",
  AND(BikePurchase[[#This Row],[Age]]&gt;=55, BikePurchase[[#This Row],[Age]]&lt;90), "Old",
  TRUE, "Invalid"
)</f>
        <v>Middle Aged</v>
      </c>
      <c r="P994" t="s">
        <v>13</v>
      </c>
      <c r="Q994" t="str">
        <f>IF(BikePurchase[[#This Row],[Purchased BikeX]]="No","Not Purchased","Purchased")</f>
        <v>Purchased</v>
      </c>
    </row>
    <row r="995" spans="1:17" x14ac:dyDescent="0.3">
      <c r="A995">
        <v>11292</v>
      </c>
      <c r="B995" t="s">
        <v>31</v>
      </c>
      <c r="C995" t="str">
        <f t="shared" si="30"/>
        <v>Single</v>
      </c>
      <c r="D995" t="s">
        <v>30</v>
      </c>
      <c r="E995" t="str">
        <f t="shared" si="31"/>
        <v>Male</v>
      </c>
      <c r="F995" s="2">
        <v>150000</v>
      </c>
      <c r="G995">
        <v>1</v>
      </c>
      <c r="H995" t="s">
        <v>16</v>
      </c>
      <c r="I995" t="s">
        <v>18</v>
      </c>
      <c r="J995" t="s">
        <v>15</v>
      </c>
      <c r="K995">
        <v>3</v>
      </c>
      <c r="L995" t="s">
        <v>35</v>
      </c>
      <c r="M995" t="s">
        <v>28</v>
      </c>
      <c r="N995" s="2">
        <v>44</v>
      </c>
      <c r="O995" t="str" cm="1">
        <f t="array" ref="O995">_xlfn.IFS(
  AND(BikePurchase[[#This Row],[Age]]&gt;=18, BikePurchase[[#This Row],[Age]]&lt;=30), "Adolescent",
  AND(BikePurchase[[#This Row],[Age]]&gt;30, BikePurchase[[#This Row],[Age]]&lt;55), "Middle Aged",
  AND(BikePurchase[[#This Row],[Age]]&gt;=55, BikePurchase[[#This Row],[Age]]&lt;90), "Old",
  TRUE, "Invalid"
)</f>
        <v>Middle Aged</v>
      </c>
      <c r="P995" t="s">
        <v>13</v>
      </c>
      <c r="Q995" t="str">
        <f>IF(BikePurchase[[#This Row],[Purchased BikeX]]="No","Not Purchased","Purchased")</f>
        <v>Purchased</v>
      </c>
    </row>
    <row r="996" spans="1:17" x14ac:dyDescent="0.3">
      <c r="A996">
        <v>13466</v>
      </c>
      <c r="B996" t="s">
        <v>30</v>
      </c>
      <c r="C996" t="str">
        <f t="shared" si="30"/>
        <v>Married</v>
      </c>
      <c r="D996" t="s">
        <v>30</v>
      </c>
      <c r="E996" t="str">
        <f t="shared" si="31"/>
        <v>Male</v>
      </c>
      <c r="F996" s="2">
        <v>80000</v>
      </c>
      <c r="G996">
        <v>5</v>
      </c>
      <c r="H996" t="s">
        <v>16</v>
      </c>
      <c r="I996" t="s">
        <v>18</v>
      </c>
      <c r="J996" t="s">
        <v>13</v>
      </c>
      <c r="K996">
        <v>3</v>
      </c>
      <c r="L996" t="s">
        <v>23</v>
      </c>
      <c r="M996" t="s">
        <v>28</v>
      </c>
      <c r="N996" s="2">
        <v>46</v>
      </c>
      <c r="O996" t="str" cm="1">
        <f t="array" ref="O996">_xlfn.IFS(
  AND(BikePurchase[[#This Row],[Age]]&gt;=18, BikePurchase[[#This Row],[Age]]&lt;=30), "Adolescent",
  AND(BikePurchase[[#This Row],[Age]]&gt;30, BikePurchase[[#This Row],[Age]]&lt;55), "Middle Aged",
  AND(BikePurchase[[#This Row],[Age]]&gt;=55, BikePurchase[[#This Row],[Age]]&lt;90), "Old",
  TRUE, "Invalid"
)</f>
        <v>Middle Aged</v>
      </c>
      <c r="P996" t="s">
        <v>15</v>
      </c>
      <c r="Q996" t="str">
        <f>IF(BikePurchase[[#This Row],[Purchased BikeX]]="No","Not Purchased","Purchased")</f>
        <v>Not Purchased</v>
      </c>
    </row>
    <row r="997" spans="1:17" x14ac:dyDescent="0.3">
      <c r="A997">
        <v>23731</v>
      </c>
      <c r="B997" t="s">
        <v>30</v>
      </c>
      <c r="C997" t="str">
        <f t="shared" si="30"/>
        <v>Married</v>
      </c>
      <c r="D997" t="s">
        <v>30</v>
      </c>
      <c r="E997" t="str">
        <f t="shared" si="31"/>
        <v>Male</v>
      </c>
      <c r="F997" s="2">
        <v>60000</v>
      </c>
      <c r="G997" s="1">
        <v>2</v>
      </c>
      <c r="H997" t="s">
        <v>24</v>
      </c>
      <c r="I997" t="s">
        <v>18</v>
      </c>
      <c r="J997" t="s">
        <v>13</v>
      </c>
      <c r="K997">
        <v>2</v>
      </c>
      <c r="L997" t="s">
        <v>19</v>
      </c>
      <c r="M997" t="s">
        <v>28</v>
      </c>
      <c r="N997" s="2">
        <v>54</v>
      </c>
      <c r="O997" t="str" cm="1">
        <f t="array" ref="O997">_xlfn.IFS(
  AND(BikePurchase[[#This Row],[Age]]&gt;=18, BikePurchase[[#This Row],[Age]]&lt;=30), "Adolescent",
  AND(BikePurchase[[#This Row],[Age]]&gt;30, BikePurchase[[#This Row],[Age]]&lt;55), "Middle Aged",
  AND(BikePurchase[[#This Row],[Age]]&gt;=55, BikePurchase[[#This Row],[Age]]&lt;90), "Old",
  TRUE, "Invalid"
)</f>
        <v>Middle Aged</v>
      </c>
      <c r="P997" t="s">
        <v>13</v>
      </c>
      <c r="Q997" t="str">
        <f>IF(BikePurchase[[#This Row],[Purchased BikeX]]="No","Not Purchased","Purchased")</f>
        <v>Purchased</v>
      </c>
    </row>
    <row r="998" spans="1:17" x14ac:dyDescent="0.3">
      <c r="A998">
        <v>28672</v>
      </c>
      <c r="B998" t="s">
        <v>31</v>
      </c>
      <c r="C998" t="str">
        <f t="shared" si="30"/>
        <v>Single</v>
      </c>
      <c r="D998" t="s">
        <v>30</v>
      </c>
      <c r="E998" t="str">
        <f t="shared" si="31"/>
        <v>Male</v>
      </c>
      <c r="F998" s="2">
        <v>70000</v>
      </c>
      <c r="G998">
        <v>4</v>
      </c>
      <c r="H998" t="s">
        <v>27</v>
      </c>
      <c r="I998" t="s">
        <v>18</v>
      </c>
      <c r="J998" t="s">
        <v>13</v>
      </c>
      <c r="K998">
        <v>0</v>
      </c>
      <c r="L998" t="s">
        <v>19</v>
      </c>
      <c r="M998" t="s">
        <v>28</v>
      </c>
      <c r="N998" s="2">
        <v>35</v>
      </c>
      <c r="O998" t="str" cm="1">
        <f t="array" ref="O998">_xlfn.IFS(
  AND(BikePurchase[[#This Row],[Age]]&gt;=18, BikePurchase[[#This Row],[Age]]&lt;=30), "Adolescent",
  AND(BikePurchase[[#This Row],[Age]]&gt;30, BikePurchase[[#This Row],[Age]]&lt;55), "Middle Aged",
  AND(BikePurchase[[#This Row],[Age]]&gt;=55, BikePurchase[[#This Row],[Age]]&lt;90), "Old",
  TRUE, "Invalid"
)</f>
        <v>Middle Aged</v>
      </c>
      <c r="P998" t="s">
        <v>13</v>
      </c>
      <c r="Q998" t="str">
        <f>IF(BikePurchase[[#This Row],[Purchased BikeX]]="No","Not Purchased","Purchased")</f>
        <v>Purchased</v>
      </c>
    </row>
    <row r="999" spans="1:17" x14ac:dyDescent="0.3">
      <c r="A999">
        <v>11809</v>
      </c>
      <c r="B999" t="s">
        <v>30</v>
      </c>
      <c r="C999" t="str">
        <f t="shared" si="30"/>
        <v>Married</v>
      </c>
      <c r="D999" t="s">
        <v>30</v>
      </c>
      <c r="E999" t="str">
        <f t="shared" si="31"/>
        <v>Male</v>
      </c>
      <c r="F999" s="2">
        <v>60000</v>
      </c>
      <c r="G999">
        <v>2</v>
      </c>
      <c r="H999" t="s">
        <v>11</v>
      </c>
      <c r="I999" t="s">
        <v>12</v>
      </c>
      <c r="J999" t="s">
        <v>13</v>
      </c>
      <c r="K999">
        <v>0</v>
      </c>
      <c r="L999" t="s">
        <v>35</v>
      </c>
      <c r="M999" t="s">
        <v>28</v>
      </c>
      <c r="N999" s="2">
        <v>38</v>
      </c>
      <c r="O999" t="str" cm="1">
        <f t="array" ref="O999">_xlfn.IFS(
  AND(BikePurchase[[#This Row],[Age]]&gt;=18, BikePurchase[[#This Row],[Age]]&lt;=30), "Adolescent",
  AND(BikePurchase[[#This Row],[Age]]&gt;30, BikePurchase[[#This Row],[Age]]&lt;55), "Middle Aged",
  AND(BikePurchase[[#This Row],[Age]]&gt;=55, BikePurchase[[#This Row],[Age]]&lt;90), "Old",
  TRUE, "Invalid"
)</f>
        <v>Middle Aged</v>
      </c>
      <c r="P999" t="s">
        <v>13</v>
      </c>
      <c r="Q999" t="str">
        <f>IF(BikePurchase[[#This Row],[Purchased BikeX]]="No","Not Purchased","Purchased")</f>
        <v>Purchased</v>
      </c>
    </row>
    <row r="1000" spans="1:17" x14ac:dyDescent="0.3">
      <c r="A1000">
        <v>19664</v>
      </c>
      <c r="B1000" t="s">
        <v>31</v>
      </c>
      <c r="C1000" t="str">
        <f t="shared" si="30"/>
        <v>Single</v>
      </c>
      <c r="D1000" t="s">
        <v>30</v>
      </c>
      <c r="E1000" t="str">
        <f t="shared" si="31"/>
        <v>Male</v>
      </c>
      <c r="F1000" s="2">
        <v>100000</v>
      </c>
      <c r="G1000">
        <v>3</v>
      </c>
      <c r="H1000" t="s">
        <v>11</v>
      </c>
      <c r="I1000" t="s">
        <v>25</v>
      </c>
      <c r="J1000" t="s">
        <v>15</v>
      </c>
      <c r="K1000">
        <v>3</v>
      </c>
      <c r="L1000" t="s">
        <v>23</v>
      </c>
      <c r="M1000" t="s">
        <v>28</v>
      </c>
      <c r="N1000" s="2">
        <v>38</v>
      </c>
      <c r="O1000" t="str" cm="1">
        <f t="array" ref="O1000">_xlfn.IFS(
  AND(BikePurchase[[#This Row],[Age]]&gt;=18, BikePurchase[[#This Row],[Age]]&lt;=30), "Adolescent",
  AND(BikePurchase[[#This Row],[Age]]&gt;30, BikePurchase[[#This Row],[Age]]&lt;55), "Middle Aged",
  AND(BikePurchase[[#This Row],[Age]]&gt;=55, BikePurchase[[#This Row],[Age]]&lt;90), "Old",
  TRUE, "Invalid"
)</f>
        <v>Middle Aged</v>
      </c>
      <c r="P1000" t="s">
        <v>15</v>
      </c>
      <c r="Q1000" t="str">
        <f>IF(BikePurchase[[#This Row],[Purchased BikeX]]="No","Not Purchased","Purchased")</f>
        <v>Not Purchased</v>
      </c>
    </row>
    <row r="1001" spans="1:17" x14ac:dyDescent="0.3">
      <c r="A1001">
        <v>12121</v>
      </c>
      <c r="B1001" t="s">
        <v>31</v>
      </c>
      <c r="C1001" t="str">
        <f t="shared" si="30"/>
        <v>Single</v>
      </c>
      <c r="D1001" t="s">
        <v>30</v>
      </c>
      <c r="E1001" t="str">
        <f t="shared" si="31"/>
        <v>Male</v>
      </c>
      <c r="F1001" s="2">
        <v>60000</v>
      </c>
      <c r="G1001">
        <v>3</v>
      </c>
      <c r="H1001" t="s">
        <v>24</v>
      </c>
      <c r="I1001" t="s">
        <v>18</v>
      </c>
      <c r="J1001" t="s">
        <v>13</v>
      </c>
      <c r="K1001">
        <v>2</v>
      </c>
      <c r="L1001" t="s">
        <v>48</v>
      </c>
      <c r="M1001" t="s">
        <v>28</v>
      </c>
      <c r="N1001" s="2">
        <v>53</v>
      </c>
      <c r="O1001" t="str" cm="1">
        <f t="array" ref="O1001">_xlfn.IFS(
  AND(BikePurchase[[#This Row],[Age]]&gt;=18, BikePurchase[[#This Row],[Age]]&lt;=30), "Adolescent",
  AND(BikePurchase[[#This Row],[Age]]&gt;30, BikePurchase[[#This Row],[Age]]&lt;55), "Middle Aged",
  AND(BikePurchase[[#This Row],[Age]]&gt;=55, BikePurchase[[#This Row],[Age]]&lt;90), "Old",
  TRUE, "Invalid"
)</f>
        <v>Middle Aged</v>
      </c>
      <c r="P1001" t="s">
        <v>13</v>
      </c>
      <c r="Q1001" t="str">
        <f>IF(BikePurchase[[#This Row],[Purchased BikeX]]="No","Not Purchased","Purchased")</f>
        <v>Purchased</v>
      </c>
    </row>
    <row r="1002" spans="1:17" x14ac:dyDescent="0.3">
      <c r="F1002"/>
      <c r="N1002"/>
    </row>
    <row r="1003" spans="1:17" x14ac:dyDescent="0.3">
      <c r="F1003"/>
      <c r="N1003"/>
    </row>
    <row r="1004" spans="1:17" x14ac:dyDescent="0.3">
      <c r="F1004"/>
      <c r="N1004"/>
    </row>
    <row r="1005" spans="1:17" x14ac:dyDescent="0.3">
      <c r="F1005"/>
      <c r="N1005"/>
    </row>
    <row r="1006" spans="1:17" x14ac:dyDescent="0.3">
      <c r="F1006"/>
      <c r="N1006"/>
    </row>
    <row r="1007" spans="1:17" x14ac:dyDescent="0.3">
      <c r="F1007"/>
      <c r="N1007"/>
    </row>
    <row r="1008" spans="1:17" x14ac:dyDescent="0.3">
      <c r="F1008"/>
      <c r="N1008"/>
    </row>
    <row r="1009" spans="6:14" x14ac:dyDescent="0.3">
      <c r="F1009"/>
      <c r="N1009"/>
    </row>
    <row r="1010" spans="6:14" x14ac:dyDescent="0.3">
      <c r="F1010"/>
      <c r="N1010"/>
    </row>
    <row r="1011" spans="6:14" x14ac:dyDescent="0.3">
      <c r="F1011"/>
      <c r="N1011"/>
    </row>
    <row r="1012" spans="6:14" x14ac:dyDescent="0.3">
      <c r="F1012"/>
      <c r="N1012"/>
    </row>
    <row r="1013" spans="6:14" x14ac:dyDescent="0.3">
      <c r="F1013"/>
      <c r="N1013"/>
    </row>
    <row r="1014" spans="6:14" x14ac:dyDescent="0.3">
      <c r="F1014"/>
      <c r="N1014"/>
    </row>
    <row r="1015" spans="6:14" x14ac:dyDescent="0.3">
      <c r="F1015"/>
      <c r="N1015"/>
    </row>
    <row r="1016" spans="6:14" x14ac:dyDescent="0.3">
      <c r="F1016"/>
      <c r="N1016"/>
    </row>
    <row r="1017" spans="6:14" x14ac:dyDescent="0.3">
      <c r="F1017"/>
      <c r="N1017"/>
    </row>
    <row r="1018" spans="6:14" x14ac:dyDescent="0.3">
      <c r="F1018"/>
      <c r="N1018"/>
    </row>
    <row r="1019" spans="6:14" x14ac:dyDescent="0.3">
      <c r="F1019"/>
      <c r="N1019"/>
    </row>
    <row r="1020" spans="6:14" x14ac:dyDescent="0.3">
      <c r="F1020"/>
      <c r="N1020"/>
    </row>
    <row r="1021" spans="6:14" x14ac:dyDescent="0.3">
      <c r="F1021"/>
      <c r="N1021"/>
    </row>
    <row r="1022" spans="6:14" x14ac:dyDescent="0.3">
      <c r="F1022"/>
      <c r="N1022"/>
    </row>
    <row r="1023" spans="6:14" x14ac:dyDescent="0.3">
      <c r="F1023"/>
      <c r="N1023"/>
    </row>
    <row r="1024" spans="6:14" x14ac:dyDescent="0.3">
      <c r="F1024"/>
      <c r="N1024"/>
    </row>
    <row r="1025" spans="6:14" x14ac:dyDescent="0.3">
      <c r="F1025"/>
      <c r="N1025"/>
    </row>
    <row r="1026" spans="6:14" x14ac:dyDescent="0.3">
      <c r="F1026"/>
      <c r="N1026"/>
    </row>
    <row r="1027" spans="6:14" x14ac:dyDescent="0.3">
      <c r="F1027"/>
      <c r="N1027"/>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Income Per Purchase</vt:lpstr>
      <vt:lpstr>Customer Commute</vt:lpstr>
      <vt:lpstr>Age Per Purchase</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aminur rahman</cp:lastModifiedBy>
  <dcterms:created xsi:type="dcterms:W3CDTF">2022-03-18T02:50:57Z</dcterms:created>
  <dcterms:modified xsi:type="dcterms:W3CDTF">2025-02-05T05:11:19Z</dcterms:modified>
</cp:coreProperties>
</file>